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Christian\Documents\GitHub\AVR-IBus\Tools\"/>
    </mc:Choice>
  </mc:AlternateContent>
  <bookViews>
    <workbookView xWindow="240" yWindow="105" windowWidth="14805" windowHeight="8010" activeTab="2"/>
  </bookViews>
  <sheets>
    <sheet name="Main" sheetId="1" r:id="rId1"/>
    <sheet name="Settings" sheetId="3" state="hidden" r:id="rId2"/>
    <sheet name="Light_Sequenz" sheetId="2" r:id="rId3"/>
  </sheets>
  <functionGroups builtInGroupCount="18"/>
  <definedNames>
    <definedName name="_xlnm._FilterDatabase" localSheetId="1" hidden="1">Settings!$A$9:$I$42</definedName>
  </definedNames>
  <calcPr calcId="152511"/>
</workbook>
</file>

<file path=xl/calcChain.xml><?xml version="1.0" encoding="utf-8"?>
<calcChain xmlns="http://schemas.openxmlformats.org/spreadsheetml/2006/main">
  <c r="B42" i="3" l="1"/>
  <c r="A42" i="3"/>
  <c r="I42" i="3" s="1"/>
  <c r="B41" i="3"/>
  <c r="A41" i="3"/>
  <c r="I41" i="3" s="1"/>
  <c r="I40" i="3"/>
  <c r="B40" i="3"/>
  <c r="A40" i="3"/>
  <c r="I39" i="3"/>
  <c r="B39" i="3"/>
  <c r="A39" i="3"/>
  <c r="B38" i="3"/>
  <c r="A38" i="3"/>
  <c r="I38" i="3" s="1"/>
  <c r="B37" i="3"/>
  <c r="A37" i="3"/>
  <c r="I37" i="3" s="1"/>
  <c r="I36" i="3"/>
  <c r="B36" i="3"/>
  <c r="A36" i="3"/>
  <c r="I35" i="3"/>
  <c r="B35" i="3"/>
  <c r="A35" i="3"/>
  <c r="B34" i="3"/>
  <c r="A34" i="3"/>
  <c r="I34" i="3" s="1"/>
  <c r="B33" i="3"/>
  <c r="A33" i="3"/>
  <c r="I33" i="3" s="1"/>
  <c r="I32" i="3"/>
  <c r="B32" i="3"/>
  <c r="A32" i="3"/>
  <c r="I31" i="3"/>
  <c r="B31" i="3"/>
  <c r="A31" i="3"/>
  <c r="B30" i="3"/>
  <c r="A30" i="3"/>
  <c r="I30" i="3" s="1"/>
  <c r="B29" i="3"/>
  <c r="A29" i="3"/>
  <c r="I29" i="3" s="1"/>
  <c r="I28" i="3"/>
  <c r="B28" i="3"/>
  <c r="A28" i="3"/>
  <c r="I27" i="3"/>
  <c r="B27" i="3"/>
  <c r="A27" i="3"/>
  <c r="B26" i="3"/>
  <c r="A26" i="3"/>
  <c r="I26" i="3" s="1"/>
  <c r="B25" i="3"/>
  <c r="A25" i="3"/>
  <c r="I25" i="3" s="1"/>
  <c r="I24" i="3"/>
  <c r="B24" i="3"/>
  <c r="A24" i="3"/>
  <c r="I23" i="3"/>
  <c r="B23" i="3"/>
  <c r="A23" i="3"/>
  <c r="B22" i="3"/>
  <c r="A22" i="3"/>
  <c r="I22" i="3" s="1"/>
  <c r="B21" i="3"/>
  <c r="A21" i="3"/>
  <c r="I21" i="3" s="1"/>
  <c r="I20" i="3"/>
  <c r="B20" i="3"/>
  <c r="A20" i="3"/>
  <c r="I19" i="3"/>
  <c r="B19" i="3"/>
  <c r="A19" i="3"/>
  <c r="B18" i="3"/>
  <c r="A18" i="3"/>
  <c r="I18" i="3" s="1"/>
  <c r="B17" i="3"/>
  <c r="A17" i="3"/>
  <c r="I17" i="3" s="1"/>
  <c r="I16" i="3"/>
  <c r="B16" i="3"/>
  <c r="A16" i="3"/>
  <c r="I15" i="3"/>
  <c r="B15" i="3"/>
  <c r="A15" i="3"/>
  <c r="B14" i="3"/>
  <c r="A14" i="3"/>
  <c r="I14" i="3" s="1"/>
  <c r="B13" i="3"/>
  <c r="A13" i="3"/>
  <c r="I13" i="3" s="1"/>
  <c r="I12" i="3"/>
  <c r="B12" i="3"/>
  <c r="A12" i="3"/>
  <c r="I11" i="3"/>
  <c r="B11" i="3"/>
  <c r="A11" i="3"/>
  <c r="P9" i="3"/>
  <c r="P8" i="3"/>
  <c r="P7" i="3"/>
  <c r="P6" i="3"/>
  <c r="P5" i="3"/>
  <c r="P4" i="3"/>
  <c r="P3" i="3"/>
  <c r="P2" i="3"/>
  <c r="AN43" i="2" l="1"/>
  <c r="AL43" i="2"/>
  <c r="AN42" i="2"/>
  <c r="AL42" i="2"/>
  <c r="AN41" i="2"/>
  <c r="AL41" i="2"/>
  <c r="AN40" i="2"/>
  <c r="AL40" i="2"/>
  <c r="AN39" i="2"/>
  <c r="AL39" i="2"/>
  <c r="AN38" i="2"/>
  <c r="AL38" i="2"/>
  <c r="AN37" i="2"/>
  <c r="AL37" i="2"/>
  <c r="AN36" i="2"/>
  <c r="AL36" i="2"/>
  <c r="AN35" i="2"/>
  <c r="AL35" i="2"/>
  <c r="AN34" i="2"/>
  <c r="AL34" i="2"/>
  <c r="AN33" i="2"/>
  <c r="AL33" i="2"/>
  <c r="AN32" i="2"/>
  <c r="AL32" i="2"/>
  <c r="AN31" i="2"/>
  <c r="AL31" i="2"/>
  <c r="AN30" i="2"/>
  <c r="AL30" i="2"/>
  <c r="AN29" i="2"/>
  <c r="AL29" i="2"/>
  <c r="AN28" i="2"/>
  <c r="AL28" i="2"/>
  <c r="AN27" i="2"/>
  <c r="AL27" i="2"/>
  <c r="AN26" i="2"/>
  <c r="AL26" i="2"/>
  <c r="AN25" i="2"/>
  <c r="AL25" i="2"/>
  <c r="AN24" i="2"/>
  <c r="AL24" i="2"/>
  <c r="AN23" i="2"/>
  <c r="AL23" i="2"/>
  <c r="AN22" i="2"/>
  <c r="AL22" i="2"/>
  <c r="AL21" i="2"/>
  <c r="AN21" i="2" s="1"/>
  <c r="AL20" i="2"/>
  <c r="AN20" i="2" s="1"/>
  <c r="AL19" i="2"/>
  <c r="AN19" i="2" s="1"/>
  <c r="AL18" i="2"/>
  <c r="AN18" i="2" s="1"/>
  <c r="AL17" i="2"/>
  <c r="AN17" i="2" s="1"/>
  <c r="AL16" i="2"/>
  <c r="AN16" i="2" s="1"/>
  <c r="AL15" i="2"/>
  <c r="AN15" i="2" s="1"/>
  <c r="AL14" i="2"/>
  <c r="AN14" i="2" s="1"/>
  <c r="AN13" i="2"/>
  <c r="AL13" i="2"/>
  <c r="AL12" i="2"/>
  <c r="AN12" i="2" s="1"/>
  <c r="AL11" i="2"/>
  <c r="AN11" i="2" s="1"/>
  <c r="AL10" i="2"/>
  <c r="AN10" i="2" s="1"/>
  <c r="AL9" i="2"/>
  <c r="AN9" i="2" s="1"/>
  <c r="AL8" i="2"/>
  <c r="AN8" i="2" s="1"/>
  <c r="AL7" i="2"/>
  <c r="AN7" i="2" s="1"/>
  <c r="AL6" i="2"/>
  <c r="AN6" i="2" s="1"/>
  <c r="AL5" i="2"/>
  <c r="AN5" i="2" s="1"/>
  <c r="AL4" i="2"/>
  <c r="AN4" i="2" s="1"/>
</calcChain>
</file>

<file path=xl/sharedStrings.xml><?xml version="1.0" encoding="utf-8"?>
<sst xmlns="http://schemas.openxmlformats.org/spreadsheetml/2006/main" count="234" uniqueCount="189">
  <si>
    <t xml:space="preserve"> Setting / Command (Default) </t>
  </si>
  <si>
    <t xml:space="preserve">    Value A   </t>
  </si>
  <si>
    <t xml:space="preserve">    Value B   </t>
  </si>
  <si>
    <t xml:space="preserve"> Description </t>
  </si>
  <si>
    <t xml:space="preserve"> --------------------------- </t>
  </si>
  <si>
    <t xml:space="preserve"> ------------ </t>
  </si>
  <si>
    <t xml:space="preserve"> ---------------------------------- </t>
  </si>
  <si>
    <t xml:space="preserve"> 0=OFF&lt;br&gt;1=ON </t>
  </si>
  <si>
    <t xml:space="preserve"> </t>
  </si>
  <si>
    <t xml:space="preserve"> Enable/Disable CD Changer Emulation&lt;br&gt;to get Radio Mode CD-Changer&lt;br&gt;as Input Source </t>
  </si>
  <si>
    <t xml:space="preserve"> Enable/Disable Welcome Message at IKE&lt;br&gt;Display after unlocking&lt;br&gt;the Car </t>
  </si>
  <si>
    <t xml:space="preserve"> Set Text for Welcome Message. 20 chars </t>
  </si>
  <si>
    <t xml:space="preserve"> 0=OFF&lt;br&gt;1-255 Seconds </t>
  </si>
  <si>
    <t xml:space="preserve"> Bits:&lt;br&gt;0=Start Engine&lt;br&gt;1=Insert Key&lt;br&gt;2=Open Door&lt;br&gt;4=Ignition Acc (Pos 1) </t>
  </si>
  <si>
    <t xml:space="preserve"> **A** Welcome Light Duration in Seconds&lt;br&gt;**B** Event to Cancel the Welcome Light. Bitmask (76543210) to Integer </t>
  </si>
  <si>
    <t xml:space="preserve"> Leaving Light Duration in Seconds </t>
  </si>
  <si>
    <t xml:space="preserve"> 0=OFF&lt;br&gt;1=Fold&lt;br&gt;2=Unfold&lt;br&gt;3=Both </t>
  </si>
  <si>
    <t xml:space="preserve"> Enable/Disable MirrorFolding for Welcome/Leaving </t>
  </si>
  <si>
    <t xml:space="preserve"> 0=OFF&lt;br&gt;1=Low Beam&lt;br&gt;2=Fog Front&lt;br&gt;3=Both </t>
  </si>
  <si>
    <t xml:space="preserve"> Enable/Disable Flash to Pass. Enabled Lights will turn on the by High Beam </t>
  </si>
  <si>
    <t xml:space="preserve"> 0-254=Value&lt;br&gt;255=OFF </t>
  </si>
  <si>
    <t xml:space="preserve"> Enable/Disable Brightness Sensor for Welcome/Leaving Light.&lt;br&gt;Value for Comparing the Sensor. Lower Value needs&lt;br&gt;more darkness to turn on the Lights. Good Value range is 30 - 40. </t>
  </si>
  <si>
    <t xml:space="preserve"> Bits:&lt;br&gt;0=Front&lt;br&gt;1=Back&lt;br&gt;2=Back (Inside) </t>
  </si>
  <si>
    <t xml:space="preserve"> Enable/Disable Park Lights for Welcome/Leaving Light.&lt;br&gt;Bitmask (76543210) to Integer </t>
  </si>
  <si>
    <t xml:space="preserve"> Bits:&lt;br&gt;0=Low&lt;br&gt;1=High </t>
  </si>
  <si>
    <t xml:space="preserve"> Enable/Disable Beam Lights for Welcome/Leaving Light.&lt;br&gt;Bitmask (76543210) to Integer </t>
  </si>
  <si>
    <t xml:space="preserve"> Bits:&lt;br&gt;0=Front&lt;br&gt;1=Back&lt;&gt;2=Side </t>
  </si>
  <si>
    <t xml:space="preserve"> Enable/Disable Direction Lights for Welcome/Leaving Light.&lt;br&gt;Some old build year can't use "Side" alone&lt;br&gt;Bitmask (76543210) to Integer </t>
  </si>
  <si>
    <t xml:space="preserve"> Bits:&lt;br&gt;0=Fog Front&lt;br&gt;1=Licence&lt;br&gt;2=Reverse&lt;br&gt;3=Brake&lt;br&gt;4=Ambient </t>
  </si>
  <si>
    <t xml:space="preserve"> Enable/Disable further Lights for Welcome/Leaving Light.&lt;br&gt;Bitmask (76543210) to Integer </t>
  </si>
  <si>
    <t xml:space="preserve"> 0=OFF&lt;br&gt;2-10=Repeat </t>
  </si>
  <si>
    <t xml:space="preserve"> Enable/Disable one touch Direction Signal (Comfortblink).&lt;br&gt;Set repeat interval. </t>
  </si>
  <si>
    <t xml:space="preserve"> 0=OFF&lt;br&gt;1-255km/h </t>
  </si>
  <si>
    <t xml:space="preserve"> Enable/Disable auto lock car by speed. </t>
  </si>
  <si>
    <t xml:space="preserve"> Bits:&lt;br&gt;0=Door&lt;br&gt;1=Handbrake&lt;br&gt;2=Gear Position P&lt;br&gt;3=Ignition Engine off </t>
  </si>
  <si>
    <t xml:space="preserve"> If Setting auto lock is enabled, do auto unlock the car by events.&lt;br&gt;Bitmask (76543210) to Integer </t>
  </si>
  <si>
    <t xml:space="preserve"> 0=OFF&lt;br&gt;1-255min </t>
  </si>
  <si>
    <t xml:space="preserve"> Enable/Disable auto relock the car after unlocking and no door was opened.&lt;br&gt;Minutes for auto relock (open Trunk restarts the Countdown)&lt;br&gt;(!! BE CAREFUL IF YOU PLACE YOUR KEY INSIDE THE CAR !!)</t>
  </si>
  <si>
    <t xml:space="preserve"> 0=RX&lt;br&gt;1=TX </t>
  </si>
  <si>
    <t xml:space="preserve"> Enable/Disable received and transmitted IBus Messages.&lt;br&gt;Bitmask (76543210) to Integer </t>
  </si>
  <si>
    <t xml:space="preserve"> 12-255ms </t>
  </si>
  <si>
    <t xml:space="preserve"> Break between transmitted messages (don't use smaller than 10). </t>
  </si>
  <si>
    <t xml:space="preserve"> 0-255km/h </t>
  </si>
  <si>
    <t xml:space="preserve"> 0=OFF&lt;br&gt;1-255s </t>
  </si>
  <si>
    <t xml:space="preserve"> **A** Speed Range to trigger the Event.&lt;br&gt;**B** Enable/Disable Fog Corner Lights for E39.&lt;br&gt;Seconds Delaytime for Fog Turn Light.Event is triggerd by Direction signal and park lights must be on.&lt;br&gt;If you reach the Speed or time is over, corner light will turn off. </t>
  </si>
  <si>
    <t xml:space="preserve"> Bits:&lt;br&gt;0=Parklight&lt;br&gt;1=Fog Front&lt;br&gt;2=Taillight </t>
  </si>
  <si>
    <t xml:space="preserve"> Enable/Disable Day Running Light at Ignition Pos 2 and Lights Off.&lt;br&gt;Bitmask (76543210) to Integer </t>
  </si>
  <si>
    <t xml:space="preserve"> No </t>
  </si>
  <si>
    <t xml:space="preserve"> -- </t>
  </si>
  <si>
    <t xml:space="preserve"> 40-59 </t>
  </si>
  <si>
    <t xml:space="preserve"> 0=E39&lt;br&gt;1=E52&lt;br&gt;2=E46&lt;br&gt;3=R40&lt;br&gt;4=RR01&lt;br&gt;5=E83&lt;br&gt;6=R50&lt;br&gt;7=R55&lt;br&gt;8=E65 </t>
  </si>
  <si>
    <t xml:space="preserve"> Define Network Vehicle Type.&lt;br&gt;Will be set automaticly. </t>
  </si>
  <si>
    <t xml:space="preserve"> 0=ZKE&lt;br&gt;1=GM/0&lt;br&gt;2=GM/1 </t>
  </si>
  <si>
    <t xml:space="preserve"> Define Network Mode.&lt;br&gt;For different Functions of production year. </t>
  </si>
  <si>
    <t xml:space="preserve"> 1-255min </t>
  </si>
  <si>
    <t xml:space="preserve"> Timeout for Shutdown minutes on IBus idle. </t>
  </si>
  <si>
    <t xml:space="preserve"> 0=OFF&lt;br&gt;1=Coolanttemp.&lt;br&gt;2=Driving&lt;br&gt;Speed&lt;br&gt;3=Oiltemp. </t>
  </si>
  <si>
    <t xml:space="preserve"> Shows OBC Values on IKE High Display or E46 Radiodisplay in CD Mode. </t>
  </si>
  <si>
    <t xml:space="preserve"> Enable/Disable Function Aux-Heat Activation by holding Remote Key Lock. </t>
  </si>
  <si>
    <t xml:space="preserve"> Enable/Disable Function Convertible Roof Open/Close by holding Remote Key Unlock/Lock. </t>
  </si>
  <si>
    <t xml:space="preserve"> 0=OFF&lt;br&gt;1-7=Seconds </t>
  </si>
  <si>
    <t xml:space="preserve"> Enable Flashing Rear Turnlights for Emergency Brake.&lt;br&gt;Delaytime for flashing after BFD turned off in Seconds. (IKE Coding requiered)&lt;br&gt;// IKE &amp; KOM (beginning Manufäcturing Year 2001, better 09/2001) //&lt;br&gt;BRAKE_FORCE&lt;br&gt;    aktiv&lt;br&gt;BRAKE_FORCE_2&lt;br&gt;    aktiv&lt;br&gt;ASC3_AUSWERTUNG&lt;br&gt;    aktiv&lt;br&gt;BFD_AX_REF_SCHWELLE&lt;br&gt;    wert_01&lt;br&gt;BFD_AX_REF_SCHWELLE_2&lt;br&gt;    wert_01 </t>
  </si>
  <si>
    <t xml:space="preserve"> 15s </t>
  </si>
  <si>
    <t xml:space="preserve"> **A**  Enable/Disable RCam Switch. Speedlimit for turning off RCam.&lt;br&gt;**B** Timeout for turning off RCam in Seconds. </t>
  </si>
  <si>
    <t xml:space="preserve"> Enable/Disable AutoZoom for Navigation Map . </t>
  </si>
  <si>
    <t xml:space="preserve"> 01 </t>
  </si>
  <si>
    <t xml:space="preserve"> 16 </t>
  </si>
  <si>
    <t xml:space="preserve"> 04 </t>
  </si>
  <si>
    <t xml:space="preserve"> 05 </t>
  </si>
  <si>
    <t xml:space="preserve"> 06 </t>
  </si>
  <si>
    <t xml:space="preserve"> 07 </t>
  </si>
  <si>
    <t xml:space="preserve"> 08 </t>
  </si>
  <si>
    <t xml:space="preserve"> 10 </t>
  </si>
  <si>
    <t xml:space="preserve"> 13 </t>
  </si>
  <si>
    <t xml:space="preserve"> 11 </t>
  </si>
  <si>
    <t xml:space="preserve"> 17 </t>
  </si>
  <si>
    <t xml:space="preserve"> 18 </t>
  </si>
  <si>
    <t xml:space="preserve"> 31 </t>
  </si>
  <si>
    <t xml:space="preserve"> 35 </t>
  </si>
  <si>
    <t xml:space="preserve"> 20 </t>
  </si>
  <si>
    <t xml:space="preserve"> 34 </t>
  </si>
  <si>
    <t>SET:WEL:MSG:0</t>
  </si>
  <si>
    <t>SET:WEL:MSG_T:AVR~IBus</t>
  </si>
  <si>
    <t>SET:WEL:LIGHT:45:0</t>
  </si>
  <si>
    <t>SET:LEV:LIGHT:15</t>
  </si>
  <si>
    <t>SET:MIR_FOLD:0</t>
  </si>
  <si>
    <t>SET:LIGHT:SEN_VAL:40</t>
  </si>
  <si>
    <t>SET:F2P:0</t>
  </si>
  <si>
    <t>SET:LIGHT:PARK:3</t>
  </si>
  <si>
    <t>SET:LIGHT:BEAM:0</t>
  </si>
  <si>
    <t>SET:LIGHT:TURN:0</t>
  </si>
  <si>
    <t>SET:LIGHT:OTHER:0</t>
  </si>
  <si>
    <t>SET:BLINK:3</t>
  </si>
  <si>
    <t>SET:LOCK_SPD:0</t>
  </si>
  <si>
    <t>SET:UNLOCK:1</t>
  </si>
  <si>
    <t>SET:RELOCK:0</t>
  </si>
  <si>
    <t>SET:RXTX:0</t>
  </si>
  <si>
    <t>SET:RXTX:MS:12</t>
  </si>
  <si>
    <t>SET:FOG_TURN:60:3</t>
  </si>
  <si>
    <t>SET:DRL:0</t>
  </si>
  <si>
    <t>SET:NTWC:0</t>
  </si>
  <si>
    <t>SET:NTWM:0</t>
  </si>
  <si>
    <t>SET:TIME_OFF:3</t>
  </si>
  <si>
    <t>SET:OBC_DISP:0</t>
  </si>
  <si>
    <t>SET:HEAT_FFB:0</t>
  </si>
  <si>
    <t>SET:CVM_FOLD:0</t>
  </si>
  <si>
    <t>SET:BFD:0</t>
  </si>
  <si>
    <t>SET:RCAM:0:15</t>
  </si>
  <si>
    <t>SET:NAVZ:0</t>
  </si>
  <si>
    <t>No (HEX)</t>
  </si>
  <si>
    <t>32</t>
  </si>
  <si>
    <t>33</t>
  </si>
  <si>
    <t>19</t>
  </si>
  <si>
    <t>21</t>
  </si>
  <si>
    <t>02</t>
  </si>
  <si>
    <t>03</t>
  </si>
  <si>
    <t>36</t>
  </si>
  <si>
    <t>30</t>
  </si>
  <si>
    <t>28</t>
  </si>
  <si>
    <t>22</t>
  </si>
  <si>
    <t>23</t>
  </si>
  <si>
    <t>24</t>
  </si>
  <si>
    <t>25</t>
  </si>
  <si>
    <t>26</t>
  </si>
  <si>
    <t>27</t>
  </si>
  <si>
    <t>SET:CDC_EMU:1</t>
  </si>
  <si>
    <t>Sequenz</t>
  </si>
  <si>
    <t>DB1</t>
  </si>
  <si>
    <t>DB2</t>
  </si>
  <si>
    <t>DB3</t>
  </si>
  <si>
    <t>DB4</t>
  </si>
  <si>
    <t>Command</t>
  </si>
  <si>
    <t>IBus Msg</t>
  </si>
  <si>
    <t>Nr.</t>
  </si>
  <si>
    <t>reverse_left</t>
  </si>
  <si>
    <t>reverse_right</t>
  </si>
  <si>
    <t>park_back_left
_inside</t>
  </si>
  <si>
    <t>park_back_right
_inside</t>
  </si>
  <si>
    <t>park_back_left</t>
  </si>
  <si>
    <t>park_back_right</t>
  </si>
  <si>
    <t>park_front_left</t>
  </si>
  <si>
    <t>park_front_right</t>
  </si>
  <si>
    <t>fog_back_left</t>
  </si>
  <si>
    <t>fog_back_right</t>
  </si>
  <si>
    <t>fog_front_left</t>
  </si>
  <si>
    <t>fog_front_right</t>
  </si>
  <si>
    <t>high_beam_left</t>
  </si>
  <si>
    <t>high_beam_right</t>
  </si>
  <si>
    <t>low_beam_left</t>
  </si>
  <si>
    <t>low_beam_right</t>
  </si>
  <si>
    <t>ambient</t>
  </si>
  <si>
    <t>licence_plate</t>
  </si>
  <si>
    <t>turn_back_left</t>
  </si>
  <si>
    <t>turn_back_right</t>
  </si>
  <si>
    <t>turn_side_left</t>
  </si>
  <si>
    <t>turn_side_right</t>
  </si>
  <si>
    <t>turn_front_left</t>
  </si>
  <si>
    <t>turn_front_right</t>
  </si>
  <si>
    <t>7</t>
  </si>
  <si>
    <t>6</t>
  </si>
  <si>
    <t>5</t>
  </si>
  <si>
    <t>4</t>
  </si>
  <si>
    <t>3</t>
  </si>
  <si>
    <t>brake_left</t>
  </si>
  <si>
    <t>brake_mid</t>
  </si>
  <si>
    <t>brake_right</t>
  </si>
  <si>
    <t>Dauer
Sekunden
(0,1 Schritte)</t>
  </si>
  <si>
    <t>Hex
(Only for Check)</t>
  </si>
  <si>
    <t>Event</t>
  </si>
  <si>
    <t>WEL</t>
  </si>
  <si>
    <t>FB 0B FA 19 01 01 3C 10 00 00 00 02 3D</t>
  </si>
  <si>
    <t>FB 0B FA 19 01 02 3C 00 01 00 00 02 2F</t>
  </si>
  <si>
    <t>FB 0B FA 19 01 03 3D 00 00 00 00 02 2E</t>
  </si>
  <si>
    <t>FB 0B FA 19 01 04 3C 04 00 00 00 02 2C</t>
  </si>
  <si>
    <t>FB 0B FA 19 01 05 3C 08 00 00 00 02 21</t>
  </si>
  <si>
    <t>FB 0B FA 19 01 06 3E 00 00 00 00 02 28</t>
  </si>
  <si>
    <t>FB 0B FA 19 01 07 3C 00 02 00 00 02 29</t>
  </si>
  <si>
    <t>FB 0B FA 19 01 08 3C 20 00 00 00 02 04</t>
  </si>
  <si>
    <t>FB 0B FA 19 01 09 3C 10 00 00 00 02 35</t>
  </si>
  <si>
    <t>FB 0B FA 19 01 0A 3C 00 01 00 00 02 27</t>
  </si>
  <si>
    <t>FB 0B FA 19 01 0B 3D 00 00 00 00 02 26</t>
  </si>
  <si>
    <t>FB 0B FA 19 01 0C 3C 04 00 00 00 02 24</t>
  </si>
  <si>
    <t>FB 0B FA 19 01 0D 3C 08 00 00 00 02 29</t>
  </si>
  <si>
    <t>FB 0B FA 19 01 0E 3E 00 00 00 00 02 20</t>
  </si>
  <si>
    <t>FB 0B FA 19 01 10 3C 20 00 00 00 02 1C</t>
  </si>
  <si>
    <t>AVR-IBus-Settings by harryberlin ©</t>
  </si>
  <si>
    <t>FB 0B FA 19 01 12 3F 00 BF 00 00 0F 8F</t>
  </si>
  <si>
    <t>FB 0B FA 19 01 11 3F 00 00 02 00 32 0C</t>
  </si>
  <si>
    <t>FB 0B FA 19 01 0F 3C 00 02 00 00 02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</si>
</sst>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vertical="center" textRotation="90"/>
    </xf>
    <xf numFmtId="0" fontId="3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9" borderId="1" xfId="0" applyFont="1" applyFill="1" applyBorder="1" applyAlignment="1">
      <alignment horizontal="center" textRotation="90"/>
    </xf>
    <xf numFmtId="0" fontId="4" fillId="10" borderId="1" xfId="0" applyFont="1" applyFill="1" applyBorder="1" applyAlignment="1">
      <alignment horizontal="center" textRotation="90" wrapText="1"/>
    </xf>
    <xf numFmtId="0" fontId="4" fillId="10" borderId="1" xfId="0" applyFont="1" applyFill="1" applyBorder="1" applyAlignment="1">
      <alignment horizontal="center" textRotation="90"/>
    </xf>
    <xf numFmtId="0" fontId="4" fillId="11" borderId="1" xfId="0" applyFont="1" applyFill="1" applyBorder="1" applyAlignment="1">
      <alignment horizontal="center" textRotation="90"/>
    </xf>
    <xf numFmtId="0" fontId="4" fillId="12" borderId="1" xfId="0" applyFont="1" applyFill="1" applyBorder="1" applyAlignment="1">
      <alignment horizontal="center" textRotation="90"/>
    </xf>
    <xf numFmtId="0" fontId="4" fillId="13" borderId="1" xfId="0" applyFont="1" applyFill="1" applyBorder="1" applyAlignment="1">
      <alignment horizontal="center" textRotation="90"/>
    </xf>
    <xf numFmtId="0" fontId="4" fillId="6" borderId="1" xfId="0" quotePrefix="1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3" fillId="1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4" borderId="2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6" borderId="3" xfId="0" applyFill="1" applyBorder="1"/>
    <xf numFmtId="0" fontId="0" fillId="7" borderId="1" xfId="0" applyFill="1" applyBorder="1"/>
    <xf numFmtId="0" fontId="0" fillId="7" borderId="3" xfId="0" applyFill="1" applyBorder="1"/>
    <xf numFmtId="0" fontId="4" fillId="15" borderId="1" xfId="0" applyFont="1" applyFill="1" applyBorder="1" applyAlignment="1">
      <alignment horizontal="center" textRotation="90"/>
    </xf>
    <xf numFmtId="0" fontId="4" fillId="16" borderId="1" xfId="0" applyFont="1" applyFill="1" applyBorder="1" applyAlignment="1">
      <alignment horizontal="center" textRotation="90"/>
    </xf>
    <xf numFmtId="0" fontId="4" fillId="17" borderId="1" xfId="0" applyFont="1" applyFill="1" applyBorder="1" applyAlignment="1">
      <alignment horizontal="center" textRotation="90"/>
    </xf>
    <xf numFmtId="0" fontId="4" fillId="17" borderId="3" xfId="0" applyFont="1" applyFill="1" applyBorder="1" applyAlignment="1">
      <alignment horizontal="center" textRotation="90"/>
    </xf>
    <xf numFmtId="0" fontId="4" fillId="18" borderId="1" xfId="0" applyFont="1" applyFill="1" applyBorder="1" applyAlignment="1">
      <alignment horizontal="center" textRotation="90"/>
    </xf>
    <xf numFmtId="0" fontId="4" fillId="15" borderId="2" xfId="0" applyFont="1" applyFill="1" applyBorder="1" applyAlignment="1">
      <alignment horizontal="center" textRotation="90"/>
    </xf>
    <xf numFmtId="0" fontId="3" fillId="0" borderId="0" xfId="0" applyFont="1"/>
  </cellXfs>
  <cellStyles count="1">
    <cellStyle name="Standard" xfId="0" builtinId="0"/>
  </cellStyles>
  <dxfs count="37"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border outline="0">
        <top style="hair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7"/>
        </patternFill>
      </fill>
      <alignment horizontal="center" vertical="bottom" textRotation="9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19050</xdr:rowOff>
        </xdr:from>
        <xdr:to>
          <xdr:col>5</xdr:col>
          <xdr:colOff>581025</xdr:colOff>
          <xdr:row>6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28575</xdr:rowOff>
        </xdr:from>
        <xdr:to>
          <xdr:col>8</xdr:col>
          <xdr:colOff>581025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Light Sequenz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Dialog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161925</xdr:rowOff>
        </xdr:from>
        <xdr:to>
          <xdr:col>6</xdr:col>
          <xdr:colOff>57150</xdr:colOff>
          <xdr:row>0</xdr:row>
          <xdr:rowOff>619125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Tester 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38100</xdr:colOff>
          <xdr:row>2</xdr:row>
          <xdr:rowOff>28575</xdr:rowOff>
        </xdr:from>
        <xdr:to>
          <xdr:col>41</xdr:col>
          <xdr:colOff>2381250</xdr:colOff>
          <xdr:row>2</xdr:row>
          <xdr:rowOff>838200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IBus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Messages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le3" displayName="Tabelle3" ref="D3:AI43" totalsRowShown="0" headerRowDxfId="34" dataDxfId="33" tableBorderDxfId="32">
  <tableColumns count="32">
    <tableColumn id="1" name="reverse_left" dataDxfId="31"/>
    <tableColumn id="2" name="reverse_right" dataDxfId="30"/>
    <tableColumn id="3" name="park_back_left_x000a__inside" dataDxfId="29"/>
    <tableColumn id="4" name="park_back_right_x000a__inside" dataDxfId="28"/>
    <tableColumn id="5" name="park_back_left" dataDxfId="27"/>
    <tableColumn id="6" name="park_back_right" dataDxfId="26"/>
    <tableColumn id="7" name="park_front_left" dataDxfId="25"/>
    <tableColumn id="8" name="park_front_right" dataDxfId="24"/>
    <tableColumn id="9" name="fog_back_left" dataDxfId="23"/>
    <tableColumn id="10" name="fog_back_right" dataDxfId="22"/>
    <tableColumn id="11" name="fog_front_left" dataDxfId="21"/>
    <tableColumn id="12" name="fog_front_right" dataDxfId="20"/>
    <tableColumn id="13" name="high_beam_left" dataDxfId="19"/>
    <tableColumn id="14" name="high_beam_right" dataDxfId="18"/>
    <tableColumn id="15" name="low_beam_left" dataDxfId="17"/>
    <tableColumn id="16" name="low_beam_right" dataDxfId="16"/>
    <tableColumn id="17" name="ambient" dataDxfId="15"/>
    <tableColumn id="18" name="licence_plate" dataDxfId="14"/>
    <tableColumn id="19" name="turn_back_left" dataDxfId="13"/>
    <tableColumn id="20" name="turn_back_right" dataDxfId="12"/>
    <tableColumn id="21" name="turn_side_left" dataDxfId="11"/>
    <tableColumn id="22" name="turn_side_right" dataDxfId="10"/>
    <tableColumn id="23" name="turn_front_left" dataDxfId="9"/>
    <tableColumn id="24" name="turn_front_right" dataDxfId="8"/>
    <tableColumn id="25" name="7" dataDxfId="7"/>
    <tableColumn id="26" name="6" dataDxfId="6"/>
    <tableColumn id="27" name="5" dataDxfId="5"/>
    <tableColumn id="28" name="4" dataDxfId="4"/>
    <tableColumn id="29" name="3" dataDxfId="3"/>
    <tableColumn id="30" name="brake_left" dataDxfId="2"/>
    <tableColumn id="31" name="brake_mid" dataDxfId="1"/>
    <tableColumn id="32" name="brake_right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D2:G5"/>
  <sheetViews>
    <sheetView workbookViewId="0">
      <selection activeCell="F11" sqref="F11"/>
    </sheetView>
  </sheetViews>
  <sheetFormatPr baseColWidth="10" defaultColWidth="9.140625" defaultRowHeight="15" x14ac:dyDescent="0.25"/>
  <cols>
    <col min="1" max="3" width="10.5703125" customWidth="1"/>
  </cols>
  <sheetData>
    <row r="2" spans="4:7" ht="15.75" x14ac:dyDescent="0.25">
      <c r="D2" s="34" t="s">
        <v>185</v>
      </c>
    </row>
    <row r="5" spans="4:7" x14ac:dyDescent="0.25">
      <c r="G5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3</xdr:row>
                <xdr:rowOff>19050</xdr:rowOff>
              </from>
              <to>
                <xdr:col>5</xdr:col>
                <xdr:colOff>581025</xdr:colOff>
                <xdr:row>6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open_light_gui">
            <anchor moveWithCells="1" sizeWithCells="1">
              <from>
                <xdr:col>6</xdr:col>
                <xdr:colOff>28575</xdr:colOff>
                <xdr:row>3</xdr:row>
                <xdr:rowOff>28575</xdr:rowOff>
              </from>
              <to>
                <xdr:col>8</xdr:col>
                <xdr:colOff>581025</xdr:colOff>
                <xdr:row>6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2:P42"/>
  <sheetViews>
    <sheetView workbookViewId="0">
      <selection activeCell="G3" sqref="G3"/>
    </sheetView>
  </sheetViews>
  <sheetFormatPr baseColWidth="10" defaultColWidth="9.140625" defaultRowHeight="15" x14ac:dyDescent="0.25"/>
  <cols>
    <col min="1" max="1" width="16.7109375" customWidth="1"/>
    <col min="2" max="3" width="10.5703125" customWidth="1"/>
    <col min="4" max="4" width="27.7109375" bestFit="1" customWidth="1"/>
  </cols>
  <sheetData>
    <row r="2" spans="1:16" x14ac:dyDescent="0.25">
      <c r="O2">
        <v>1</v>
      </c>
      <c r="P2">
        <f>8-O2</f>
        <v>7</v>
      </c>
    </row>
    <row r="3" spans="1:16" x14ac:dyDescent="0.25">
      <c r="O3">
        <v>2</v>
      </c>
      <c r="P3">
        <f t="shared" ref="P3:P9" si="0">8-O3</f>
        <v>6</v>
      </c>
    </row>
    <row r="4" spans="1:16" x14ac:dyDescent="0.25">
      <c r="N4" s="1"/>
      <c r="O4">
        <v>3</v>
      </c>
      <c r="P4">
        <f t="shared" si="0"/>
        <v>5</v>
      </c>
    </row>
    <row r="5" spans="1:16" x14ac:dyDescent="0.25">
      <c r="H5" s="2"/>
      <c r="N5" s="1"/>
      <c r="O5">
        <v>4</v>
      </c>
      <c r="P5">
        <f t="shared" si="0"/>
        <v>4</v>
      </c>
    </row>
    <row r="6" spans="1:16" x14ac:dyDescent="0.25">
      <c r="O6">
        <v>5</v>
      </c>
      <c r="P6">
        <f t="shared" si="0"/>
        <v>3</v>
      </c>
    </row>
    <row r="7" spans="1:16" x14ac:dyDescent="0.25">
      <c r="O7">
        <v>6</v>
      </c>
      <c r="P7">
        <f t="shared" si="0"/>
        <v>2</v>
      </c>
    </row>
    <row r="8" spans="1:16" x14ac:dyDescent="0.25">
      <c r="O8">
        <v>7</v>
      </c>
      <c r="P8">
        <f t="shared" si="0"/>
        <v>1</v>
      </c>
    </row>
    <row r="9" spans="1:16" x14ac:dyDescent="0.25">
      <c r="B9" t="s">
        <v>109</v>
      </c>
      <c r="C9" s="3" t="s">
        <v>47</v>
      </c>
      <c r="D9" t="s">
        <v>0</v>
      </c>
      <c r="E9" t="s">
        <v>1</v>
      </c>
      <c r="F9" t="s">
        <v>2</v>
      </c>
      <c r="G9" t="s">
        <v>3</v>
      </c>
      <c r="O9">
        <v>8</v>
      </c>
      <c r="P9">
        <f t="shared" si="0"/>
        <v>0</v>
      </c>
    </row>
    <row r="10" spans="1:16" x14ac:dyDescent="0.25">
      <c r="C10" s="3" t="s">
        <v>48</v>
      </c>
      <c r="D10" t="s">
        <v>4</v>
      </c>
      <c r="E10" t="s">
        <v>5</v>
      </c>
      <c r="F10" t="s">
        <v>5</v>
      </c>
      <c r="G10" t="s">
        <v>6</v>
      </c>
    </row>
    <row r="11" spans="1:16" x14ac:dyDescent="0.25">
      <c r="A11" t="str">
        <f>MID(D11,5,FIND(":",D11,5)-5)</f>
        <v>CDC_EMU</v>
      </c>
      <c r="B11" t="str">
        <f>DEC2HEX(C11,2)</f>
        <v>01</v>
      </c>
      <c r="C11" s="3" t="s">
        <v>65</v>
      </c>
      <c r="D11" s="4" t="s">
        <v>125</v>
      </c>
      <c r="E11" t="s">
        <v>7</v>
      </c>
      <c r="F11" t="s">
        <v>8</v>
      </c>
      <c r="G11" t="s">
        <v>9</v>
      </c>
      <c r="I11" t="str">
        <f>"Private Const "&amp;A11&amp;" As Integer = "&amp;C11</f>
        <v xml:space="preserve">Private Const CDC_EMU As Integer =  01 </v>
      </c>
    </row>
    <row r="12" spans="1:16" x14ac:dyDescent="0.25">
      <c r="A12" t="str">
        <f>""&amp;MID(D12,5,FIND(":",D12,9)-5)</f>
        <v>WEL:MSG</v>
      </c>
      <c r="B12" t="str">
        <f t="shared" ref="B12:B42" si="1">DEC2HEX(C12,2)</f>
        <v>10</v>
      </c>
      <c r="C12" s="3" t="s">
        <v>66</v>
      </c>
      <c r="D12" t="s">
        <v>81</v>
      </c>
      <c r="E12" t="s">
        <v>7</v>
      </c>
      <c r="F12" t="s">
        <v>8</v>
      </c>
      <c r="G12" t="s">
        <v>10</v>
      </c>
      <c r="I12" t="str">
        <f t="shared" ref="I12:I42" si="2">"Private Const "&amp;A12&amp;" As Integer = "&amp;C12</f>
        <v xml:space="preserve">Private Const WEL:MSG As Integer =  16 </v>
      </c>
    </row>
    <row r="13" spans="1:16" x14ac:dyDescent="0.25">
      <c r="A13" t="str">
        <f t="shared" ref="A13:A16" si="3">""&amp;MID(D13,5,FIND(":",D13,9)-5)</f>
        <v>WEL:MSG_T</v>
      </c>
      <c r="B13" t="e">
        <f t="shared" si="1"/>
        <v>#VALUE!</v>
      </c>
      <c r="C13" s="3" t="s">
        <v>49</v>
      </c>
      <c r="D13" t="s">
        <v>82</v>
      </c>
      <c r="E13" t="s">
        <v>7</v>
      </c>
      <c r="F13" t="s">
        <v>8</v>
      </c>
      <c r="G13" t="s">
        <v>11</v>
      </c>
      <c r="I13" t="str">
        <f t="shared" si="2"/>
        <v xml:space="preserve">Private Const WEL:MSG_T As Integer =  40-59 </v>
      </c>
    </row>
    <row r="14" spans="1:16" x14ac:dyDescent="0.25">
      <c r="A14" t="str">
        <f t="shared" si="3"/>
        <v>WEL:LIGHT</v>
      </c>
      <c r="B14" t="str">
        <f t="shared" si="1"/>
        <v>02</v>
      </c>
      <c r="C14" s="3" t="s">
        <v>114</v>
      </c>
      <c r="D14" s="4" t="s">
        <v>83</v>
      </c>
      <c r="E14" t="s">
        <v>12</v>
      </c>
      <c r="F14" t="s">
        <v>13</v>
      </c>
      <c r="G14" t="s">
        <v>14</v>
      </c>
      <c r="I14" t="str">
        <f t="shared" si="2"/>
        <v>Private Const WEL:LIGHT As Integer = 02</v>
      </c>
    </row>
    <row r="15" spans="1:16" x14ac:dyDescent="0.25">
      <c r="A15" t="str">
        <f t="shared" si="3"/>
        <v>WEL:LIGHT</v>
      </c>
      <c r="B15" t="str">
        <f>DEC2HEX(C15,2)</f>
        <v>03</v>
      </c>
      <c r="C15" s="3" t="s">
        <v>115</v>
      </c>
      <c r="D15" s="4" t="s">
        <v>83</v>
      </c>
      <c r="E15" t="s">
        <v>12</v>
      </c>
      <c r="F15" t="s">
        <v>13</v>
      </c>
      <c r="G15" t="s">
        <v>14</v>
      </c>
      <c r="I15" t="str">
        <f t="shared" si="2"/>
        <v>Private Const WEL:LIGHT As Integer = 03</v>
      </c>
    </row>
    <row r="16" spans="1:16" x14ac:dyDescent="0.25">
      <c r="A16" t="str">
        <f t="shared" si="3"/>
        <v>LEV:LIGHT</v>
      </c>
      <c r="B16" t="str">
        <f t="shared" si="1"/>
        <v>04</v>
      </c>
      <c r="C16" s="3" t="s">
        <v>67</v>
      </c>
      <c r="D16" s="4" t="s">
        <v>84</v>
      </c>
      <c r="E16" t="s">
        <v>12</v>
      </c>
      <c r="F16" t="s">
        <v>8</v>
      </c>
      <c r="G16" t="s">
        <v>15</v>
      </c>
      <c r="I16" t="str">
        <f t="shared" si="2"/>
        <v xml:space="preserve">Private Const LEV:LIGHT As Integer =  04 </v>
      </c>
    </row>
    <row r="17" spans="1:9" x14ac:dyDescent="0.25">
      <c r="A17" t="str">
        <f t="shared" ref="A17:A42" si="4">""&amp;MID(D17,5,FIND(":",D17,5)-5)</f>
        <v>MIR_FOLD</v>
      </c>
      <c r="B17" t="str">
        <f t="shared" si="1"/>
        <v>05</v>
      </c>
      <c r="C17" s="3" t="s">
        <v>68</v>
      </c>
      <c r="D17" t="s">
        <v>85</v>
      </c>
      <c r="E17" t="s">
        <v>16</v>
      </c>
      <c r="F17" t="s">
        <v>8</v>
      </c>
      <c r="G17" t="s">
        <v>17</v>
      </c>
      <c r="I17" t="str">
        <f t="shared" si="2"/>
        <v xml:space="preserve">Private Const MIR_FOLD As Integer =  05 </v>
      </c>
    </row>
    <row r="18" spans="1:9" x14ac:dyDescent="0.25">
      <c r="A18" t="str">
        <f>""&amp;MID(D18,5,FIND(":",D18,11)-5)</f>
        <v>LIGHT:SEN_VAL</v>
      </c>
      <c r="B18" t="str">
        <f t="shared" si="1"/>
        <v>06</v>
      </c>
      <c r="C18" s="3" t="s">
        <v>69</v>
      </c>
      <c r="D18" s="4" t="s">
        <v>86</v>
      </c>
      <c r="E18" t="s">
        <v>20</v>
      </c>
      <c r="F18" t="s">
        <v>8</v>
      </c>
      <c r="G18" t="s">
        <v>21</v>
      </c>
      <c r="I18" t="str">
        <f t="shared" si="2"/>
        <v xml:space="preserve">Private Const LIGHT:SEN_VAL As Integer =  06 </v>
      </c>
    </row>
    <row r="19" spans="1:9" x14ac:dyDescent="0.25">
      <c r="A19" t="str">
        <f t="shared" si="4"/>
        <v>F2P</v>
      </c>
      <c r="B19" t="str">
        <f t="shared" si="1"/>
        <v>07</v>
      </c>
      <c r="C19" s="3" t="s">
        <v>70</v>
      </c>
      <c r="D19" t="s">
        <v>87</v>
      </c>
      <c r="E19" t="s">
        <v>18</v>
      </c>
      <c r="F19" t="s">
        <v>8</v>
      </c>
      <c r="G19" t="s">
        <v>19</v>
      </c>
      <c r="I19" t="str">
        <f t="shared" si="2"/>
        <v xml:space="preserve">Private Const F2P As Integer =  07 </v>
      </c>
    </row>
    <row r="20" spans="1:9" x14ac:dyDescent="0.25">
      <c r="A20" t="str">
        <f>""&amp;MID(D20,5,FIND(":",D20,11)-5)</f>
        <v>LIGHT:PARK</v>
      </c>
      <c r="B20" t="str">
        <f t="shared" si="1"/>
        <v>08</v>
      </c>
      <c r="C20" s="3" t="s">
        <v>71</v>
      </c>
      <c r="D20" s="4" t="s">
        <v>88</v>
      </c>
      <c r="E20" t="s">
        <v>22</v>
      </c>
      <c r="F20" t="s">
        <v>8</v>
      </c>
      <c r="G20" t="s">
        <v>23</v>
      </c>
      <c r="I20" t="str">
        <f t="shared" si="2"/>
        <v xml:space="preserve">Private Const LIGHT:PARK As Integer =  08 </v>
      </c>
    </row>
    <row r="21" spans="1:9" x14ac:dyDescent="0.25">
      <c r="A21" t="str">
        <f>""&amp;MID(D21,5,FIND(":",D21,11)-5)</f>
        <v>LIGHT:BEAM</v>
      </c>
      <c r="B21" t="str">
        <f t="shared" si="1"/>
        <v>0A</v>
      </c>
      <c r="C21" s="3" t="s">
        <v>72</v>
      </c>
      <c r="D21" s="4" t="s">
        <v>89</v>
      </c>
      <c r="E21" t="s">
        <v>24</v>
      </c>
      <c r="F21" t="s">
        <v>8</v>
      </c>
      <c r="G21" t="s">
        <v>25</v>
      </c>
      <c r="I21" t="str">
        <f t="shared" si="2"/>
        <v xml:space="preserve">Private Const LIGHT:BEAM As Integer =  10 </v>
      </c>
    </row>
    <row r="22" spans="1:9" x14ac:dyDescent="0.25">
      <c r="A22" t="str">
        <f>""&amp;MID(D22,5,FIND(":",D22,11)-5)</f>
        <v>LIGHT:TURN</v>
      </c>
      <c r="B22" t="str">
        <f t="shared" si="1"/>
        <v>0D</v>
      </c>
      <c r="C22" s="3" t="s">
        <v>73</v>
      </c>
      <c r="D22" s="4" t="s">
        <v>90</v>
      </c>
      <c r="E22" t="s">
        <v>26</v>
      </c>
      <c r="F22" t="s">
        <v>8</v>
      </c>
      <c r="G22" t="s">
        <v>27</v>
      </c>
      <c r="I22" t="str">
        <f t="shared" si="2"/>
        <v xml:space="preserve">Private Const LIGHT:TURN As Integer =  13 </v>
      </c>
    </row>
    <row r="23" spans="1:9" x14ac:dyDescent="0.25">
      <c r="A23" t="str">
        <f>""&amp;MID(D23,5,FIND(":",D23,11)-5)</f>
        <v>LIGHT:OTHER</v>
      </c>
      <c r="B23" t="str">
        <f t="shared" si="1"/>
        <v>0B</v>
      </c>
      <c r="C23" s="3" t="s">
        <v>74</v>
      </c>
      <c r="D23" s="4" t="s">
        <v>91</v>
      </c>
      <c r="E23" t="s">
        <v>28</v>
      </c>
      <c r="F23" t="s">
        <v>8</v>
      </c>
      <c r="G23" t="s">
        <v>29</v>
      </c>
      <c r="I23" t="str">
        <f t="shared" si="2"/>
        <v xml:space="preserve">Private Const LIGHT:OTHER As Integer =  11 </v>
      </c>
    </row>
    <row r="24" spans="1:9" x14ac:dyDescent="0.25">
      <c r="A24" t="str">
        <f t="shared" si="4"/>
        <v>BLINK</v>
      </c>
      <c r="B24" t="str">
        <f t="shared" si="1"/>
        <v>11</v>
      </c>
      <c r="C24" s="3" t="s">
        <v>75</v>
      </c>
      <c r="D24" t="s">
        <v>92</v>
      </c>
      <c r="E24" t="s">
        <v>30</v>
      </c>
      <c r="F24" t="s">
        <v>8</v>
      </c>
      <c r="G24" t="s">
        <v>31</v>
      </c>
      <c r="I24" t="str">
        <f t="shared" si="2"/>
        <v xml:space="preserve">Private Const BLINK As Integer =  17 </v>
      </c>
    </row>
    <row r="25" spans="1:9" x14ac:dyDescent="0.25">
      <c r="A25" t="str">
        <f t="shared" si="4"/>
        <v>LOCK_SPD</v>
      </c>
      <c r="B25" t="str">
        <f t="shared" si="1"/>
        <v>12</v>
      </c>
      <c r="C25" s="3" t="s">
        <v>76</v>
      </c>
      <c r="D25" t="s">
        <v>93</v>
      </c>
      <c r="E25" t="s">
        <v>32</v>
      </c>
      <c r="F25" t="s">
        <v>8</v>
      </c>
      <c r="G25" t="s">
        <v>33</v>
      </c>
      <c r="I25" t="str">
        <f t="shared" si="2"/>
        <v xml:space="preserve">Private Const LOCK_SPD As Integer =  18 </v>
      </c>
    </row>
    <row r="26" spans="1:9" x14ac:dyDescent="0.25">
      <c r="A26" t="str">
        <f t="shared" si="4"/>
        <v>UNLOCK</v>
      </c>
      <c r="B26" t="str">
        <f t="shared" si="1"/>
        <v>1F</v>
      </c>
      <c r="C26" s="3" t="s">
        <v>77</v>
      </c>
      <c r="D26" t="s">
        <v>94</v>
      </c>
      <c r="E26" t="s">
        <v>34</v>
      </c>
      <c r="F26" t="s">
        <v>8</v>
      </c>
      <c r="G26" t="s">
        <v>35</v>
      </c>
      <c r="I26" t="str">
        <f t="shared" si="2"/>
        <v xml:space="preserve">Private Const UNLOCK As Integer =  31 </v>
      </c>
    </row>
    <row r="27" spans="1:9" x14ac:dyDescent="0.25">
      <c r="A27" t="str">
        <f t="shared" si="4"/>
        <v>RELOCK</v>
      </c>
      <c r="B27" t="str">
        <f t="shared" si="1"/>
        <v>23</v>
      </c>
      <c r="C27" s="3" t="s">
        <v>78</v>
      </c>
      <c r="D27" t="s">
        <v>95</v>
      </c>
      <c r="E27" t="s">
        <v>36</v>
      </c>
      <c r="F27" t="s">
        <v>8</v>
      </c>
      <c r="G27" t="s">
        <v>37</v>
      </c>
      <c r="I27" t="str">
        <f t="shared" si="2"/>
        <v xml:space="preserve">Private Const RELOCK As Integer =  35 </v>
      </c>
    </row>
    <row r="28" spans="1:9" x14ac:dyDescent="0.25">
      <c r="A28" t="str">
        <f t="shared" si="4"/>
        <v>RXTX</v>
      </c>
      <c r="B28" t="str">
        <f t="shared" si="1"/>
        <v>14</v>
      </c>
      <c r="C28" s="3" t="s">
        <v>79</v>
      </c>
      <c r="D28" t="s">
        <v>96</v>
      </c>
      <c r="E28" t="s">
        <v>38</v>
      </c>
      <c r="F28" t="s">
        <v>8</v>
      </c>
      <c r="G28" t="s">
        <v>39</v>
      </c>
      <c r="I28" t="str">
        <f t="shared" si="2"/>
        <v xml:space="preserve">Private Const RXTX As Integer =  20 </v>
      </c>
    </row>
    <row r="29" spans="1:9" x14ac:dyDescent="0.25">
      <c r="A29" t="str">
        <f t="shared" si="4"/>
        <v>RXTX</v>
      </c>
      <c r="B29" t="str">
        <f t="shared" si="1"/>
        <v>22</v>
      </c>
      <c r="C29" s="3" t="s">
        <v>80</v>
      </c>
      <c r="D29" t="s">
        <v>97</v>
      </c>
      <c r="E29" t="s">
        <v>40</v>
      </c>
      <c r="F29" t="s">
        <v>8</v>
      </c>
      <c r="G29" t="s">
        <v>41</v>
      </c>
      <c r="I29" t="str">
        <f t="shared" si="2"/>
        <v xml:space="preserve">Private Const RXTX As Integer =  34 </v>
      </c>
    </row>
    <row r="30" spans="1:9" x14ac:dyDescent="0.25">
      <c r="A30" t="str">
        <f>""&amp;MID(D30,5,FIND(":",D30,5)-5)&amp;"_SPPED"</f>
        <v>FOG_TURN_SPPED</v>
      </c>
      <c r="B30" t="str">
        <f t="shared" si="1"/>
        <v>13</v>
      </c>
      <c r="C30" s="3" t="s">
        <v>112</v>
      </c>
      <c r="D30" t="s">
        <v>98</v>
      </c>
      <c r="E30" t="s">
        <v>42</v>
      </c>
      <c r="F30" t="s">
        <v>43</v>
      </c>
      <c r="G30" t="s">
        <v>44</v>
      </c>
      <c r="I30" t="str">
        <f t="shared" si="2"/>
        <v>Private Const FOG_TURN_SPPED As Integer = 19</v>
      </c>
    </row>
    <row r="31" spans="1:9" x14ac:dyDescent="0.25">
      <c r="A31" t="str">
        <f>""&amp;MID(D31,5,FIND(":",D31,5)-5)&amp;"_TIMEOUT"</f>
        <v>FOG_TURN_TIMEOUT</v>
      </c>
      <c r="B31" t="str">
        <f>DEC2HEX(C31,2)</f>
        <v>15</v>
      </c>
      <c r="C31" s="3" t="s">
        <v>113</v>
      </c>
      <c r="D31" t="s">
        <v>98</v>
      </c>
      <c r="E31" t="s">
        <v>42</v>
      </c>
      <c r="F31" t="s">
        <v>43</v>
      </c>
      <c r="G31" t="s">
        <v>44</v>
      </c>
      <c r="I31" t="str">
        <f t="shared" si="2"/>
        <v>Private Const FOG_TURN_TIMEOUT As Integer = 21</v>
      </c>
    </row>
    <row r="32" spans="1:9" x14ac:dyDescent="0.25">
      <c r="A32" t="str">
        <f t="shared" si="4"/>
        <v>DRL</v>
      </c>
      <c r="B32" t="str">
        <f t="shared" si="1"/>
        <v>16</v>
      </c>
      <c r="C32" s="3" t="s">
        <v>119</v>
      </c>
      <c r="D32" t="s">
        <v>99</v>
      </c>
      <c r="E32" t="s">
        <v>45</v>
      </c>
      <c r="F32" t="s">
        <v>8</v>
      </c>
      <c r="G32" t="s">
        <v>46</v>
      </c>
      <c r="I32" t="str">
        <f t="shared" si="2"/>
        <v>Private Const DRL As Integer = 22</v>
      </c>
    </row>
    <row r="33" spans="1:9" x14ac:dyDescent="0.25">
      <c r="A33" t="str">
        <f t="shared" si="4"/>
        <v>NTWC</v>
      </c>
      <c r="B33" t="str">
        <f t="shared" si="1"/>
        <v>17</v>
      </c>
      <c r="C33" s="3" t="s">
        <v>120</v>
      </c>
      <c r="D33" t="s">
        <v>100</v>
      </c>
      <c r="E33" t="s">
        <v>50</v>
      </c>
      <c r="F33" t="s">
        <v>8</v>
      </c>
      <c r="G33" t="s">
        <v>51</v>
      </c>
      <c r="I33" t="str">
        <f t="shared" si="2"/>
        <v>Private Const NTWC As Integer = 23</v>
      </c>
    </row>
    <row r="34" spans="1:9" x14ac:dyDescent="0.25">
      <c r="A34" t="str">
        <f t="shared" si="4"/>
        <v>NTWM</v>
      </c>
      <c r="B34" t="str">
        <f t="shared" si="1"/>
        <v>18</v>
      </c>
      <c r="C34" s="3" t="s">
        <v>121</v>
      </c>
      <c r="D34" t="s">
        <v>101</v>
      </c>
      <c r="E34" t="s">
        <v>52</v>
      </c>
      <c r="F34" t="s">
        <v>8</v>
      </c>
      <c r="G34" t="s">
        <v>53</v>
      </c>
      <c r="I34" t="str">
        <f t="shared" si="2"/>
        <v>Private Const NTWM As Integer = 24</v>
      </c>
    </row>
    <row r="35" spans="1:9" x14ac:dyDescent="0.25">
      <c r="A35" t="str">
        <f t="shared" si="4"/>
        <v>TIME_OFF</v>
      </c>
      <c r="B35" t="str">
        <f t="shared" si="1"/>
        <v>19</v>
      </c>
      <c r="C35" s="3" t="s">
        <v>122</v>
      </c>
      <c r="D35" t="s">
        <v>102</v>
      </c>
      <c r="E35" t="s">
        <v>54</v>
      </c>
      <c r="F35" t="s">
        <v>8</v>
      </c>
      <c r="G35" t="s">
        <v>55</v>
      </c>
      <c r="I35" t="str">
        <f t="shared" si="2"/>
        <v>Private Const TIME_OFF As Integer = 25</v>
      </c>
    </row>
    <row r="36" spans="1:9" x14ac:dyDescent="0.25">
      <c r="A36" t="str">
        <f t="shared" si="4"/>
        <v>OBC_DISP</v>
      </c>
      <c r="B36" t="str">
        <f t="shared" si="1"/>
        <v>1A</v>
      </c>
      <c r="C36" s="3" t="s">
        <v>123</v>
      </c>
      <c r="D36" t="s">
        <v>103</v>
      </c>
      <c r="E36" t="s">
        <v>56</v>
      </c>
      <c r="F36" t="s">
        <v>8</v>
      </c>
      <c r="G36" t="s">
        <v>57</v>
      </c>
      <c r="I36" t="str">
        <f t="shared" si="2"/>
        <v>Private Const OBC_DISP As Integer = 26</v>
      </c>
    </row>
    <row r="37" spans="1:9" x14ac:dyDescent="0.25">
      <c r="A37" t="str">
        <f t="shared" si="4"/>
        <v>HEAT_FFB</v>
      </c>
      <c r="B37" t="str">
        <f t="shared" si="1"/>
        <v>1B</v>
      </c>
      <c r="C37" s="3" t="s">
        <v>124</v>
      </c>
      <c r="D37" t="s">
        <v>104</v>
      </c>
      <c r="E37" t="s">
        <v>7</v>
      </c>
      <c r="F37" t="s">
        <v>8</v>
      </c>
      <c r="G37" t="s">
        <v>58</v>
      </c>
      <c r="I37" t="str">
        <f t="shared" si="2"/>
        <v>Private Const HEAT_FFB As Integer = 27</v>
      </c>
    </row>
    <row r="38" spans="1:9" x14ac:dyDescent="0.25">
      <c r="A38" t="str">
        <f t="shared" si="4"/>
        <v>CVM_FOLD</v>
      </c>
      <c r="B38" t="str">
        <f t="shared" si="1"/>
        <v>1C</v>
      </c>
      <c r="C38" s="3" t="s">
        <v>118</v>
      </c>
      <c r="D38" t="s">
        <v>105</v>
      </c>
      <c r="E38" t="s">
        <v>7</v>
      </c>
      <c r="F38" t="s">
        <v>8</v>
      </c>
      <c r="G38" t="s">
        <v>59</v>
      </c>
      <c r="I38" t="str">
        <f t="shared" si="2"/>
        <v>Private Const CVM_FOLD As Integer = 28</v>
      </c>
    </row>
    <row r="39" spans="1:9" x14ac:dyDescent="0.25">
      <c r="A39" t="str">
        <f t="shared" si="4"/>
        <v>BFD</v>
      </c>
      <c r="B39" t="str">
        <f t="shared" si="1"/>
        <v>1E</v>
      </c>
      <c r="C39" s="3" t="s">
        <v>117</v>
      </c>
      <c r="D39" t="s">
        <v>106</v>
      </c>
      <c r="E39" t="s">
        <v>60</v>
      </c>
      <c r="F39" t="s">
        <v>8</v>
      </c>
      <c r="G39" t="s">
        <v>61</v>
      </c>
      <c r="I39" t="str">
        <f t="shared" si="2"/>
        <v>Private Const BFD As Integer = 30</v>
      </c>
    </row>
    <row r="40" spans="1:9" x14ac:dyDescent="0.25">
      <c r="A40" t="str">
        <f>""&amp;MID(D40,5,FIND(":",D40,5)-5)&amp;"_SPPED"</f>
        <v>RCAM_SPPED</v>
      </c>
      <c r="B40" t="str">
        <f t="shared" si="1"/>
        <v>20</v>
      </c>
      <c r="C40" s="3" t="s">
        <v>110</v>
      </c>
      <c r="D40" t="s">
        <v>107</v>
      </c>
      <c r="E40" t="s">
        <v>32</v>
      </c>
      <c r="F40" t="s">
        <v>62</v>
      </c>
      <c r="G40" t="s">
        <v>63</v>
      </c>
      <c r="I40" t="str">
        <f t="shared" si="2"/>
        <v>Private Const RCAM_SPPED As Integer = 32</v>
      </c>
    </row>
    <row r="41" spans="1:9" x14ac:dyDescent="0.25">
      <c r="A41" t="str">
        <f>""&amp;MID(D41,5,FIND(":",D41,5)-5)&amp;"_TIMEOUT"</f>
        <v>RCAM_TIMEOUT</v>
      </c>
      <c r="B41" t="str">
        <f>DEC2HEX(C41,2)</f>
        <v>21</v>
      </c>
      <c r="C41" s="3" t="s">
        <v>111</v>
      </c>
      <c r="D41" t="s">
        <v>107</v>
      </c>
      <c r="E41" t="s">
        <v>32</v>
      </c>
      <c r="F41" t="s">
        <v>62</v>
      </c>
      <c r="G41" t="s">
        <v>63</v>
      </c>
      <c r="I41" t="str">
        <f t="shared" si="2"/>
        <v>Private Const RCAM_TIMEOUT As Integer = 33</v>
      </c>
    </row>
    <row r="42" spans="1:9" x14ac:dyDescent="0.25">
      <c r="A42" t="str">
        <f t="shared" si="4"/>
        <v>NAVZ</v>
      </c>
      <c r="B42" t="str">
        <f t="shared" si="1"/>
        <v>24</v>
      </c>
      <c r="C42" s="3" t="s">
        <v>116</v>
      </c>
      <c r="D42" t="s">
        <v>108</v>
      </c>
      <c r="E42" t="s">
        <v>7</v>
      </c>
      <c r="F42" t="s">
        <v>8</v>
      </c>
      <c r="G42" t="s">
        <v>64</v>
      </c>
      <c r="I42" t="str">
        <f t="shared" si="2"/>
        <v>Private Const NAVZ As Integer = 36</v>
      </c>
    </row>
  </sheetData>
  <autoFilter ref="A9:I4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C1:AP43"/>
  <sheetViews>
    <sheetView tabSelected="1" zoomScale="90" zoomScaleNormal="90" workbookViewId="0">
      <selection activeCell="AA17" sqref="AA17"/>
    </sheetView>
  </sheetViews>
  <sheetFormatPr baseColWidth="10" defaultRowHeight="15" x14ac:dyDescent="0.25"/>
  <cols>
    <col min="1" max="2" width="3" customWidth="1"/>
    <col min="3" max="3" width="8.5703125" customWidth="1"/>
    <col min="4" max="35" width="5.28515625" customWidth="1"/>
    <col min="36" max="36" width="12.28515625" customWidth="1"/>
    <col min="37" max="37" width="2.85546875" customWidth="1"/>
    <col min="38" max="38" width="10" bestFit="1" customWidth="1"/>
    <col min="39" max="39" width="2.85546875" customWidth="1"/>
    <col min="40" max="40" width="29.28515625" customWidth="1"/>
    <col min="41" max="41" width="4.28515625" customWidth="1"/>
    <col min="42" max="42" width="36.28515625" bestFit="1" customWidth="1"/>
  </cols>
  <sheetData>
    <row r="1" spans="3:42" ht="72" customHeight="1" x14ac:dyDescent="0.25"/>
    <row r="2" spans="3:42" ht="15.75" x14ac:dyDescent="0.25">
      <c r="C2" s="5" t="s">
        <v>126</v>
      </c>
      <c r="D2" s="21" t="s">
        <v>127</v>
      </c>
      <c r="E2" s="22">
        <v>30</v>
      </c>
      <c r="F2" s="22">
        <v>29</v>
      </c>
      <c r="G2" s="22">
        <v>28</v>
      </c>
      <c r="H2" s="22">
        <v>27</v>
      </c>
      <c r="I2" s="22">
        <v>26</v>
      </c>
      <c r="J2" s="22">
        <v>25</v>
      </c>
      <c r="K2" s="22">
        <v>24</v>
      </c>
      <c r="L2" s="23" t="s">
        <v>128</v>
      </c>
      <c r="M2" s="23">
        <v>22</v>
      </c>
      <c r="N2" s="23">
        <v>21</v>
      </c>
      <c r="O2" s="23">
        <v>20</v>
      </c>
      <c r="P2" s="23">
        <v>19</v>
      </c>
      <c r="Q2" s="23">
        <v>18</v>
      </c>
      <c r="R2" s="23">
        <v>17</v>
      </c>
      <c r="S2" s="23">
        <v>16</v>
      </c>
      <c r="T2" s="24" t="s">
        <v>129</v>
      </c>
      <c r="U2" s="24">
        <v>14</v>
      </c>
      <c r="V2" s="24">
        <v>13</v>
      </c>
      <c r="W2" s="24">
        <v>12</v>
      </c>
      <c r="X2" s="24">
        <v>11</v>
      </c>
      <c r="Y2" s="24">
        <v>10</v>
      </c>
      <c r="Z2" s="24">
        <v>9</v>
      </c>
      <c r="AA2" s="25">
        <v>8</v>
      </c>
      <c r="AB2" s="26" t="s">
        <v>130</v>
      </c>
      <c r="AC2" s="26">
        <v>6</v>
      </c>
      <c r="AD2" s="26">
        <v>5</v>
      </c>
      <c r="AE2" s="26">
        <v>4</v>
      </c>
      <c r="AF2" s="26">
        <v>3</v>
      </c>
      <c r="AG2" s="26">
        <v>2</v>
      </c>
      <c r="AH2" s="26">
        <v>1</v>
      </c>
      <c r="AI2" s="27">
        <v>0</v>
      </c>
      <c r="AJ2" s="5"/>
      <c r="AM2" s="6"/>
      <c r="AN2" s="7" t="s">
        <v>131</v>
      </c>
      <c r="AP2" s="7" t="s">
        <v>132</v>
      </c>
    </row>
    <row r="3" spans="3:42" ht="68.25" x14ac:dyDescent="0.25">
      <c r="C3" s="8" t="s">
        <v>133</v>
      </c>
      <c r="D3" s="9" t="s">
        <v>134</v>
      </c>
      <c r="E3" s="9" t="s">
        <v>135</v>
      </c>
      <c r="F3" s="10" t="s">
        <v>136</v>
      </c>
      <c r="G3" s="10" t="s">
        <v>137</v>
      </c>
      <c r="H3" s="11" t="s">
        <v>138</v>
      </c>
      <c r="I3" s="11" t="s">
        <v>139</v>
      </c>
      <c r="J3" s="29" t="s">
        <v>140</v>
      </c>
      <c r="K3" s="29" t="s">
        <v>141</v>
      </c>
      <c r="L3" s="14" t="s">
        <v>142</v>
      </c>
      <c r="M3" s="14" t="s">
        <v>143</v>
      </c>
      <c r="N3" s="12" t="s">
        <v>144</v>
      </c>
      <c r="O3" s="12" t="s">
        <v>145</v>
      </c>
      <c r="P3" s="13" t="s">
        <v>146</v>
      </c>
      <c r="Q3" s="13" t="s">
        <v>147</v>
      </c>
      <c r="R3" s="28" t="s">
        <v>148</v>
      </c>
      <c r="S3" s="33" t="s">
        <v>149</v>
      </c>
      <c r="T3" s="32" t="s">
        <v>150</v>
      </c>
      <c r="U3" s="9" t="s">
        <v>151</v>
      </c>
      <c r="V3" s="30" t="s">
        <v>152</v>
      </c>
      <c r="W3" s="30" t="s">
        <v>153</v>
      </c>
      <c r="X3" s="30" t="s">
        <v>154</v>
      </c>
      <c r="Y3" s="30" t="s">
        <v>155</v>
      </c>
      <c r="Z3" s="30" t="s">
        <v>156</v>
      </c>
      <c r="AA3" s="31" t="s">
        <v>157</v>
      </c>
      <c r="AB3" s="15" t="s">
        <v>158</v>
      </c>
      <c r="AC3" s="16" t="s">
        <v>159</v>
      </c>
      <c r="AD3" s="16" t="s">
        <v>160</v>
      </c>
      <c r="AE3" s="16" t="s">
        <v>161</v>
      </c>
      <c r="AF3" s="16" t="s">
        <v>162</v>
      </c>
      <c r="AG3" s="30" t="s">
        <v>163</v>
      </c>
      <c r="AH3" s="30" t="s">
        <v>164</v>
      </c>
      <c r="AI3" s="31" t="s">
        <v>165</v>
      </c>
      <c r="AJ3" s="2" t="s">
        <v>166</v>
      </c>
      <c r="AL3" s="2" t="s">
        <v>167</v>
      </c>
      <c r="AM3" s="6" t="s">
        <v>168</v>
      </c>
      <c r="AN3" s="17" t="s">
        <v>169</v>
      </c>
    </row>
    <row r="4" spans="3:42" x14ac:dyDescent="0.25">
      <c r="C4" s="18">
        <v>1</v>
      </c>
      <c r="D4" s="19">
        <v>0</v>
      </c>
      <c r="E4" s="19">
        <v>0</v>
      </c>
      <c r="F4" s="19">
        <v>1</v>
      </c>
      <c r="G4" s="19">
        <v>1</v>
      </c>
      <c r="H4" s="19">
        <v>1</v>
      </c>
      <c r="I4" s="19">
        <v>1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1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8">
        <v>0.2</v>
      </c>
      <c r="AL4" s="20" t="str">
        <f t="shared" ref="AL4:AL43" si="0">BIN2HEX(D4&amp;E4&amp;F4&amp;G4&amp;H4&amp;I4&amp;J4&amp;K4,2)&amp;BIN2HEX(L4&amp;M4&amp;N4&amp;O4&amp;P4&amp;Q4&amp;R4&amp;S4,2)&amp;BIN2HEX(T4&amp;U4&amp;V4&amp;W4&amp;X4&amp;Y4&amp;Z4&amp;AA4,2)&amp;BIN2HEX(AB4&amp;AC4&amp;AD4&amp;AE4&amp;AF4&amp;AG4&amp;AH4&amp;AI4,2)</f>
        <v>3C100000</v>
      </c>
      <c r="AN4" t="str">
        <f>"SET:"&amp;$AN$3&amp;":SEQ:"&amp;C4&amp;":"&amp;HEX2DEC(AL4)&amp;":"&amp;AJ4*10</f>
        <v>SET:WEL:SEQ:1:1007681536:2</v>
      </c>
      <c r="AP4" t="s">
        <v>170</v>
      </c>
    </row>
    <row r="5" spans="3:42" x14ac:dyDescent="0.25">
      <c r="C5" s="18">
        <v>2</v>
      </c>
      <c r="D5" s="19">
        <v>0</v>
      </c>
      <c r="E5" s="19">
        <v>0</v>
      </c>
      <c r="F5" s="19">
        <v>1</v>
      </c>
      <c r="G5" s="19">
        <v>1</v>
      </c>
      <c r="H5" s="19">
        <v>1</v>
      </c>
      <c r="I5" s="19">
        <v>1</v>
      </c>
      <c r="J5" s="19"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9">
        <v>0</v>
      </c>
      <c r="Z5" s="19">
        <v>0</v>
      </c>
      <c r="AA5" s="19">
        <v>1</v>
      </c>
      <c r="AB5" s="19">
        <v>0</v>
      </c>
      <c r="AC5" s="19">
        <v>0</v>
      </c>
      <c r="AD5" s="19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8">
        <v>0.2</v>
      </c>
      <c r="AL5" s="20" t="str">
        <f t="shared" si="0"/>
        <v>3C000100</v>
      </c>
      <c r="AN5" t="str">
        <f>IF(SUM(Tabelle3[#This Row])&gt;0,"SET:"&amp;$AN$3&amp;":SEQ:"&amp;C5&amp;":"&amp;HEX2DEC(AL5)&amp;":"&amp;AJ5*10,"")</f>
        <v>SET:WEL:SEQ:2:1006633216:2</v>
      </c>
      <c r="AP5" t="s">
        <v>171</v>
      </c>
    </row>
    <row r="6" spans="3:42" x14ac:dyDescent="0.25">
      <c r="C6" s="18">
        <v>3</v>
      </c>
      <c r="D6" s="19">
        <v>0</v>
      </c>
      <c r="E6" s="19">
        <v>0</v>
      </c>
      <c r="F6" s="19">
        <v>1</v>
      </c>
      <c r="G6" s="19">
        <v>1</v>
      </c>
      <c r="H6" s="19">
        <v>1</v>
      </c>
      <c r="I6" s="19">
        <v>1</v>
      </c>
      <c r="J6" s="19">
        <v>0</v>
      </c>
      <c r="K6" s="19">
        <v>1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8">
        <v>0.2</v>
      </c>
      <c r="AL6" s="20" t="str">
        <f t="shared" si="0"/>
        <v>3D000000</v>
      </c>
      <c r="AN6" t="str">
        <f>IF(SUM(Tabelle3[#This Row])&gt;0,"SET:"&amp;$AN$3&amp;":SEQ:"&amp;C6&amp;":"&amp;HEX2DEC(AL6)&amp;":"&amp;AJ6*10,"")</f>
        <v>SET:WEL:SEQ:3:1023410176:2</v>
      </c>
      <c r="AP6" t="s">
        <v>172</v>
      </c>
    </row>
    <row r="7" spans="3:42" x14ac:dyDescent="0.25">
      <c r="C7" s="18">
        <v>4</v>
      </c>
      <c r="D7" s="19">
        <v>0</v>
      </c>
      <c r="E7" s="19">
        <v>0</v>
      </c>
      <c r="F7" s="19">
        <v>1</v>
      </c>
      <c r="G7" s="19">
        <v>1</v>
      </c>
      <c r="H7" s="19">
        <v>1</v>
      </c>
      <c r="I7" s="19">
        <v>1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1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8">
        <v>0.2</v>
      </c>
      <c r="AL7" s="20" t="str">
        <f t="shared" si="0"/>
        <v>3C040000</v>
      </c>
      <c r="AN7" t="str">
        <f>IF(SUM(Tabelle3[#This Row])&gt;0,"SET:"&amp;$AN$3&amp;":SEQ:"&amp;C7&amp;":"&amp;HEX2DEC(AL7)&amp;":"&amp;AJ7*10,"")</f>
        <v>SET:WEL:SEQ:4:1006895104:2</v>
      </c>
      <c r="AP7" t="s">
        <v>173</v>
      </c>
    </row>
    <row r="8" spans="3:42" x14ac:dyDescent="0.25">
      <c r="C8" s="18">
        <v>5</v>
      </c>
      <c r="D8" s="19">
        <v>0</v>
      </c>
      <c r="E8" s="19">
        <v>0</v>
      </c>
      <c r="F8" s="19">
        <v>1</v>
      </c>
      <c r="G8" s="19">
        <v>1</v>
      </c>
      <c r="H8" s="19">
        <v>1</v>
      </c>
      <c r="I8" s="19">
        <v>1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1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8">
        <v>0.2</v>
      </c>
      <c r="AL8" s="20" t="str">
        <f t="shared" si="0"/>
        <v>3C080000</v>
      </c>
      <c r="AN8" t="str">
        <f>IF(SUM(Tabelle3[#This Row])&gt;0,"SET:"&amp;$AN$3&amp;":SEQ:"&amp;C8&amp;":"&amp;HEX2DEC(AL8)&amp;":"&amp;AJ8*10,"")</f>
        <v>SET:WEL:SEQ:5:1007157248:2</v>
      </c>
      <c r="AP8" t="s">
        <v>174</v>
      </c>
    </row>
    <row r="9" spans="3:42" x14ac:dyDescent="0.25">
      <c r="C9" s="18">
        <v>6</v>
      </c>
      <c r="D9" s="19">
        <v>0</v>
      </c>
      <c r="E9" s="19">
        <v>0</v>
      </c>
      <c r="F9" s="19">
        <v>1</v>
      </c>
      <c r="G9" s="19">
        <v>1</v>
      </c>
      <c r="H9" s="19">
        <v>1</v>
      </c>
      <c r="I9" s="19">
        <v>1</v>
      </c>
      <c r="J9" s="19">
        <v>1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8">
        <v>0.2</v>
      </c>
      <c r="AL9" s="20" t="str">
        <f t="shared" si="0"/>
        <v>3E000000</v>
      </c>
      <c r="AN9" t="str">
        <f>IF(SUM(Tabelle3[#This Row])&gt;0,"SET:"&amp;$AN$3&amp;":SEQ:"&amp;C9&amp;":"&amp;HEX2DEC(AL9)&amp;":"&amp;AJ9*10,"")</f>
        <v>SET:WEL:SEQ:6:1040187392:2</v>
      </c>
      <c r="AP9" t="s">
        <v>175</v>
      </c>
    </row>
    <row r="10" spans="3:42" x14ac:dyDescent="0.25">
      <c r="C10" s="18">
        <v>7</v>
      </c>
      <c r="D10" s="19">
        <v>0</v>
      </c>
      <c r="E10" s="19">
        <v>0</v>
      </c>
      <c r="F10" s="19">
        <v>1</v>
      </c>
      <c r="G10" s="19">
        <v>1</v>
      </c>
      <c r="H10" s="19">
        <v>1</v>
      </c>
      <c r="I10" s="19">
        <v>1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1</v>
      </c>
      <c r="AA10" s="19">
        <v>0</v>
      </c>
      <c r="AB10" s="19">
        <v>0</v>
      </c>
      <c r="AC10" s="19">
        <v>0</v>
      </c>
      <c r="AD10" s="19">
        <v>0</v>
      </c>
      <c r="AE10" s="19">
        <v>0</v>
      </c>
      <c r="AF10" s="19">
        <v>0</v>
      </c>
      <c r="AG10" s="19">
        <v>0</v>
      </c>
      <c r="AH10" s="19">
        <v>0</v>
      </c>
      <c r="AI10" s="19">
        <v>0</v>
      </c>
      <c r="AJ10" s="18">
        <v>0.2</v>
      </c>
      <c r="AL10" s="20" t="str">
        <f t="shared" si="0"/>
        <v>3C000200</v>
      </c>
      <c r="AN10" t="str">
        <f>IF(SUM(Tabelle3[#This Row])&gt;0,"SET:"&amp;$AN$3&amp;":SEQ:"&amp;C10&amp;":"&amp;HEX2DEC(AL10)&amp;":"&amp;AJ10*10,"")</f>
        <v>SET:WEL:SEQ:7:1006633472:2</v>
      </c>
      <c r="AP10" t="s">
        <v>176</v>
      </c>
    </row>
    <row r="11" spans="3:42" x14ac:dyDescent="0.25">
      <c r="C11" s="18">
        <v>8</v>
      </c>
      <c r="D11" s="19">
        <v>0</v>
      </c>
      <c r="E11" s="19">
        <v>0</v>
      </c>
      <c r="F11" s="19">
        <v>1</v>
      </c>
      <c r="G11" s="19">
        <v>1</v>
      </c>
      <c r="H11" s="19">
        <v>1</v>
      </c>
      <c r="I11" s="19">
        <v>1</v>
      </c>
      <c r="J11" s="19">
        <v>0</v>
      </c>
      <c r="K11" s="19">
        <v>0</v>
      </c>
      <c r="L11" s="19">
        <v>0</v>
      </c>
      <c r="M11" s="19">
        <v>0</v>
      </c>
      <c r="N11" s="19">
        <v>1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8">
        <v>0.2</v>
      </c>
      <c r="AL11" s="20" t="str">
        <f t="shared" si="0"/>
        <v>3C200000</v>
      </c>
      <c r="AN11" t="str">
        <f>IF(SUM(Tabelle3[#This Row])&gt;0,"SET:"&amp;$AN$3&amp;":SEQ:"&amp;C11&amp;":"&amp;HEX2DEC(AL11)&amp;":"&amp;AJ11*10,"")</f>
        <v>SET:WEL:SEQ:8:1008730112:2</v>
      </c>
      <c r="AP11" t="s">
        <v>177</v>
      </c>
    </row>
    <row r="12" spans="3:42" x14ac:dyDescent="0.25">
      <c r="C12" s="18">
        <v>9</v>
      </c>
      <c r="D12" s="19">
        <v>0</v>
      </c>
      <c r="E12" s="19">
        <v>0</v>
      </c>
      <c r="F12" s="19">
        <v>1</v>
      </c>
      <c r="G12" s="19">
        <v>1</v>
      </c>
      <c r="H12" s="19">
        <v>1</v>
      </c>
      <c r="I12" s="19">
        <v>1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1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9">
        <v>0</v>
      </c>
      <c r="AJ12" s="18">
        <v>0.2</v>
      </c>
      <c r="AL12" s="20" t="str">
        <f t="shared" si="0"/>
        <v>3C100000</v>
      </c>
      <c r="AN12" t="str">
        <f>IF(SUM(Tabelle3[#This Row])&gt;0,"SET:"&amp;$AN$3&amp;":SEQ:"&amp;C12&amp;":"&amp;HEX2DEC(AL12)&amp;":"&amp;AJ12*10,"")</f>
        <v>SET:WEL:SEQ:9:1007681536:2</v>
      </c>
      <c r="AP12" t="s">
        <v>178</v>
      </c>
    </row>
    <row r="13" spans="3:42" x14ac:dyDescent="0.25">
      <c r="C13" s="18">
        <v>10</v>
      </c>
      <c r="D13" s="19">
        <v>0</v>
      </c>
      <c r="E13" s="19">
        <v>0</v>
      </c>
      <c r="F13" s="19">
        <v>1</v>
      </c>
      <c r="G13" s="19">
        <v>1</v>
      </c>
      <c r="H13" s="19">
        <v>1</v>
      </c>
      <c r="I13" s="19">
        <v>1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1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8">
        <v>0.2</v>
      </c>
      <c r="AL13" s="20" t="str">
        <f t="shared" si="0"/>
        <v>3C000100</v>
      </c>
      <c r="AN13" t="str">
        <f>IF(SUM(Tabelle3[#This Row])&gt;0,"SET:"&amp;$AN$3&amp;":SEQ:"&amp;C13&amp;":"&amp;HEX2DEC(AL13)&amp;":"&amp;AJ13*10,"")</f>
        <v>SET:WEL:SEQ:10:1006633216:2</v>
      </c>
      <c r="AP13" t="s">
        <v>179</v>
      </c>
    </row>
    <row r="14" spans="3:42" x14ac:dyDescent="0.25">
      <c r="C14" s="18">
        <v>11</v>
      </c>
      <c r="D14" s="19">
        <v>0</v>
      </c>
      <c r="E14" s="19">
        <v>0</v>
      </c>
      <c r="F14" s="19">
        <v>1</v>
      </c>
      <c r="G14" s="19">
        <v>1</v>
      </c>
      <c r="H14" s="19">
        <v>1</v>
      </c>
      <c r="I14" s="19">
        <v>1</v>
      </c>
      <c r="J14" s="19">
        <v>0</v>
      </c>
      <c r="K14" s="19">
        <v>1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8">
        <v>0.2</v>
      </c>
      <c r="AL14" s="20" t="str">
        <f t="shared" si="0"/>
        <v>3D000000</v>
      </c>
      <c r="AN14" t="str">
        <f>IF(SUM(Tabelle3[#This Row])&gt;0,"SET:"&amp;$AN$3&amp;":SEQ:"&amp;C14&amp;":"&amp;HEX2DEC(AL14)&amp;":"&amp;AJ14*10,"")</f>
        <v>SET:WEL:SEQ:11:1023410176:2</v>
      </c>
      <c r="AP14" t="s">
        <v>180</v>
      </c>
    </row>
    <row r="15" spans="3:42" x14ac:dyDescent="0.25">
      <c r="C15" s="18">
        <v>12</v>
      </c>
      <c r="D15" s="19">
        <v>0</v>
      </c>
      <c r="E15" s="19">
        <v>0</v>
      </c>
      <c r="F15" s="19">
        <v>1</v>
      </c>
      <c r="G15" s="19">
        <v>1</v>
      </c>
      <c r="H15" s="19">
        <v>1</v>
      </c>
      <c r="I15" s="19">
        <v>1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1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8">
        <v>0.2</v>
      </c>
      <c r="AL15" s="20" t="str">
        <f t="shared" si="0"/>
        <v>3C040000</v>
      </c>
      <c r="AN15" t="str">
        <f>IF(SUM(Tabelle3[#This Row])&gt;0,"SET:"&amp;$AN$3&amp;":SEQ:"&amp;C15&amp;":"&amp;HEX2DEC(AL15)&amp;":"&amp;AJ15*10,"")</f>
        <v>SET:WEL:SEQ:12:1006895104:2</v>
      </c>
      <c r="AP15" t="s">
        <v>181</v>
      </c>
    </row>
    <row r="16" spans="3:42" x14ac:dyDescent="0.25">
      <c r="C16" s="18">
        <v>13</v>
      </c>
      <c r="D16" s="19">
        <v>0</v>
      </c>
      <c r="E16" s="19">
        <v>0</v>
      </c>
      <c r="F16" s="19">
        <v>1</v>
      </c>
      <c r="G16" s="19">
        <v>1</v>
      </c>
      <c r="H16" s="19">
        <v>1</v>
      </c>
      <c r="I16" s="19">
        <v>1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1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8">
        <v>0.2</v>
      </c>
      <c r="AL16" s="20" t="str">
        <f t="shared" si="0"/>
        <v>3C080000</v>
      </c>
      <c r="AN16" t="str">
        <f>IF(SUM(Tabelle3[#This Row])&gt;0,"SET:"&amp;$AN$3&amp;":SEQ:"&amp;C16&amp;":"&amp;HEX2DEC(AL16)&amp;":"&amp;AJ16*10,"")</f>
        <v>SET:WEL:SEQ:13:1007157248:2</v>
      </c>
      <c r="AP16" t="s">
        <v>182</v>
      </c>
    </row>
    <row r="17" spans="3:42" x14ac:dyDescent="0.25">
      <c r="C17" s="18">
        <v>14</v>
      </c>
      <c r="D17" s="19">
        <v>0</v>
      </c>
      <c r="E17" s="19">
        <v>0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8">
        <v>0.2</v>
      </c>
      <c r="AL17" s="20" t="str">
        <f t="shared" si="0"/>
        <v>3E000000</v>
      </c>
      <c r="AN17" t="str">
        <f>IF(SUM(Tabelle3[#This Row])&gt;0,"SET:"&amp;$AN$3&amp;":SEQ:"&amp;C17&amp;":"&amp;HEX2DEC(AL17)&amp;":"&amp;AJ17*10,"")</f>
        <v>SET:WEL:SEQ:14:1040187392:2</v>
      </c>
      <c r="AP17" t="s">
        <v>183</v>
      </c>
    </row>
    <row r="18" spans="3:42" x14ac:dyDescent="0.25">
      <c r="C18" s="18">
        <v>15</v>
      </c>
      <c r="D18" s="19">
        <v>0</v>
      </c>
      <c r="E18" s="19">
        <v>0</v>
      </c>
      <c r="F18" s="19">
        <v>1</v>
      </c>
      <c r="G18" s="19">
        <v>1</v>
      </c>
      <c r="H18" s="19">
        <v>1</v>
      </c>
      <c r="I18" s="19">
        <v>1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1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8">
        <v>0.2</v>
      </c>
      <c r="AL18" s="20" t="str">
        <f t="shared" si="0"/>
        <v>3C000200</v>
      </c>
      <c r="AN18" t="str">
        <f>IF(SUM(Tabelle3[#This Row])&gt;0,"SET:"&amp;$AN$3&amp;":SEQ:"&amp;C18&amp;":"&amp;HEX2DEC(AL18)&amp;":"&amp;AJ18*10,"")</f>
        <v>SET:WEL:SEQ:15:1006633472:2</v>
      </c>
      <c r="AP18" t="s">
        <v>188</v>
      </c>
    </row>
    <row r="19" spans="3:42" x14ac:dyDescent="0.25">
      <c r="C19" s="18">
        <v>16</v>
      </c>
      <c r="D19" s="19">
        <v>0</v>
      </c>
      <c r="E19" s="19">
        <v>0</v>
      </c>
      <c r="F19" s="19">
        <v>1</v>
      </c>
      <c r="G19" s="19">
        <v>1</v>
      </c>
      <c r="H19" s="19">
        <v>1</v>
      </c>
      <c r="I19" s="19">
        <v>1</v>
      </c>
      <c r="J19" s="19">
        <v>0</v>
      </c>
      <c r="K19" s="19">
        <v>0</v>
      </c>
      <c r="L19" s="19">
        <v>0</v>
      </c>
      <c r="M19" s="19">
        <v>0</v>
      </c>
      <c r="N19" s="19">
        <v>1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8">
        <v>0.2</v>
      </c>
      <c r="AL19" s="20" t="str">
        <f t="shared" si="0"/>
        <v>3C200000</v>
      </c>
      <c r="AN19" t="str">
        <f>IF(SUM(Tabelle3[#This Row])&gt;0,"SET:"&amp;$AN$3&amp;":SEQ:"&amp;C19&amp;":"&amp;HEX2DEC(AL19)&amp;":"&amp;AJ19*10,"")</f>
        <v>SET:WEL:SEQ:16:1008730112:2</v>
      </c>
      <c r="AP19" t="s">
        <v>184</v>
      </c>
    </row>
    <row r="20" spans="3:42" x14ac:dyDescent="0.25">
      <c r="C20" s="18">
        <v>17</v>
      </c>
      <c r="D20" s="19">
        <v>0</v>
      </c>
      <c r="E20" s="19">
        <v>0</v>
      </c>
      <c r="F20" s="19">
        <v>1</v>
      </c>
      <c r="G20" s="19">
        <v>1</v>
      </c>
      <c r="H20" s="19">
        <v>1</v>
      </c>
      <c r="I20" s="19">
        <v>1</v>
      </c>
      <c r="J20" s="19">
        <v>1</v>
      </c>
      <c r="K20" s="19">
        <v>1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B20" s="19">
        <v>0</v>
      </c>
      <c r="AC20" s="19">
        <v>0</v>
      </c>
      <c r="AD20" s="19">
        <v>0</v>
      </c>
      <c r="AE20" s="19">
        <v>0</v>
      </c>
      <c r="AF20" s="19">
        <v>0</v>
      </c>
      <c r="AG20" s="19">
        <v>0</v>
      </c>
      <c r="AH20" s="19">
        <v>1</v>
      </c>
      <c r="AI20" s="19">
        <v>0</v>
      </c>
      <c r="AJ20" s="18">
        <v>5</v>
      </c>
      <c r="AL20" s="20" t="str">
        <f t="shared" si="0"/>
        <v>3F000002</v>
      </c>
      <c r="AN20" t="str">
        <f>IF(SUM(Tabelle3[#This Row])&gt;0,"SET:"&amp;$AN$3&amp;":SEQ:"&amp;C20&amp;":"&amp;HEX2DEC(AL20)&amp;":"&amp;AJ20*10,"")</f>
        <v>SET:WEL:SEQ:17:1056964610:50</v>
      </c>
      <c r="AP20" t="s">
        <v>187</v>
      </c>
    </row>
    <row r="21" spans="3:42" x14ac:dyDescent="0.25">
      <c r="C21" s="18">
        <v>18</v>
      </c>
      <c r="D21" s="19">
        <v>0</v>
      </c>
      <c r="E21" s="19">
        <v>0</v>
      </c>
      <c r="F21" s="19">
        <v>1</v>
      </c>
      <c r="G21" s="19">
        <v>1</v>
      </c>
      <c r="H21" s="19">
        <v>1</v>
      </c>
      <c r="I21" s="19">
        <v>1</v>
      </c>
      <c r="J21" s="19">
        <v>1</v>
      </c>
      <c r="K21" s="19">
        <v>1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1</v>
      </c>
      <c r="U21" s="19">
        <v>0</v>
      </c>
      <c r="V21" s="19">
        <v>1</v>
      </c>
      <c r="W21" s="19">
        <v>1</v>
      </c>
      <c r="X21" s="19">
        <v>1</v>
      </c>
      <c r="Y21" s="19">
        <v>1</v>
      </c>
      <c r="Z21" s="19">
        <v>1</v>
      </c>
      <c r="AA21" s="19">
        <v>1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>
        <v>0</v>
      </c>
      <c r="AI21" s="19">
        <v>0</v>
      </c>
      <c r="AJ21" s="18">
        <v>1.5</v>
      </c>
      <c r="AL21" s="20" t="str">
        <f t="shared" si="0"/>
        <v>3F00BF00</v>
      </c>
      <c r="AN21" t="str">
        <f>IF(SUM(Tabelle3[#This Row])&gt;0,"SET:"&amp;$AN$3&amp;":SEQ:"&amp;C21&amp;":"&amp;HEX2DEC(AL21)&amp;":"&amp;AJ21*10,"")</f>
        <v>SET:WEL:SEQ:18:1057013504:15</v>
      </c>
      <c r="AP21" t="s">
        <v>186</v>
      </c>
    </row>
    <row r="22" spans="3:42" x14ac:dyDescent="0.25">
      <c r="C22" s="18">
        <v>19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19">
        <v>0</v>
      </c>
      <c r="AE22" s="19">
        <v>0</v>
      </c>
      <c r="AF22" s="19">
        <v>0</v>
      </c>
      <c r="AG22" s="19">
        <v>0</v>
      </c>
      <c r="AH22" s="19">
        <v>0</v>
      </c>
      <c r="AI22" s="19">
        <v>0</v>
      </c>
      <c r="AJ22" s="18">
        <v>0</v>
      </c>
      <c r="AL22" s="20" t="str">
        <f t="shared" si="0"/>
        <v>00000000</v>
      </c>
      <c r="AN22" t="str">
        <f>IF(SUM(Tabelle3[#This Row])&gt;0,"SET:"&amp;$AN$3&amp;":SEQ:"&amp;C22&amp;":"&amp;HEX2DEC(AL22)&amp;":"&amp;AJ22*10,"")</f>
        <v/>
      </c>
    </row>
    <row r="23" spans="3:42" x14ac:dyDescent="0.25">
      <c r="C23" s="18">
        <v>20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19">
        <v>0</v>
      </c>
      <c r="AE23" s="19">
        <v>0</v>
      </c>
      <c r="AF23" s="19">
        <v>0</v>
      </c>
      <c r="AG23" s="19">
        <v>0</v>
      </c>
      <c r="AH23" s="19">
        <v>0</v>
      </c>
      <c r="AI23" s="19">
        <v>0</v>
      </c>
      <c r="AJ23" s="18">
        <v>0</v>
      </c>
      <c r="AL23" s="20" t="str">
        <f t="shared" si="0"/>
        <v>00000000</v>
      </c>
      <c r="AN23" t="str">
        <f>IF(SUM(Tabelle3[#This Row])&gt;0,"SET:"&amp;$AN$3&amp;":SEQ:"&amp;C23&amp;":"&amp;HEX2DEC(AL23)&amp;":"&amp;AJ23*10,"")</f>
        <v/>
      </c>
    </row>
    <row r="24" spans="3:42" x14ac:dyDescent="0.25">
      <c r="C24" s="18">
        <v>21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8">
        <v>0</v>
      </c>
      <c r="AL24" s="20" t="str">
        <f t="shared" si="0"/>
        <v>00000000</v>
      </c>
      <c r="AN24" t="str">
        <f>IF(SUM(Tabelle3[#This Row])&gt;0,"SET:"&amp;$AN$3&amp;":SEQ:"&amp;C24&amp;":"&amp;HEX2DEC(AL24)&amp;":"&amp;AJ24*10,"")</f>
        <v/>
      </c>
    </row>
    <row r="25" spans="3:42" x14ac:dyDescent="0.25">
      <c r="C25" s="18">
        <v>22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8">
        <v>0</v>
      </c>
      <c r="AL25" s="20" t="str">
        <f t="shared" si="0"/>
        <v>00000000</v>
      </c>
      <c r="AN25" t="str">
        <f>IF(SUM(Tabelle3[#This Row])&gt;0,"SET:"&amp;$AN$3&amp;":SEQ:"&amp;C25&amp;":"&amp;HEX2DEC(AL25)&amp;":"&amp;AJ25*10,"")</f>
        <v/>
      </c>
    </row>
    <row r="26" spans="3:42" x14ac:dyDescent="0.25">
      <c r="C26" s="18">
        <v>23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8">
        <v>0</v>
      </c>
      <c r="AL26" s="20" t="str">
        <f t="shared" si="0"/>
        <v>00000000</v>
      </c>
      <c r="AN26" t="str">
        <f>IF(SUM(Tabelle3[#This Row])&gt;0,"SET:"&amp;$AN$3&amp;":SEQ:"&amp;C26&amp;":"&amp;HEX2DEC(AL26)&amp;":"&amp;AJ26*10,"")</f>
        <v/>
      </c>
    </row>
    <row r="27" spans="3:42" x14ac:dyDescent="0.25">
      <c r="C27" s="18">
        <v>24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8">
        <v>0</v>
      </c>
      <c r="AL27" s="20" t="str">
        <f t="shared" si="0"/>
        <v>00000000</v>
      </c>
      <c r="AN27" t="str">
        <f>IF(SUM(Tabelle3[#This Row])&gt;0,"SET:"&amp;$AN$3&amp;":SEQ:"&amp;C27&amp;":"&amp;HEX2DEC(AL27)&amp;":"&amp;AJ27*10,"")</f>
        <v/>
      </c>
    </row>
    <row r="28" spans="3:42" x14ac:dyDescent="0.25">
      <c r="C28" s="18">
        <v>25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>
        <v>0</v>
      </c>
      <c r="AJ28" s="18">
        <v>0</v>
      </c>
      <c r="AL28" s="20" t="str">
        <f t="shared" si="0"/>
        <v>00000000</v>
      </c>
      <c r="AN28" t="str">
        <f>IF(SUM(Tabelle3[#This Row])&gt;0,"SET:"&amp;$AN$3&amp;":SEQ:"&amp;C28&amp;":"&amp;HEX2DEC(AL28)&amp;":"&amp;AJ28*10,"")</f>
        <v/>
      </c>
    </row>
    <row r="29" spans="3:42" x14ac:dyDescent="0.25">
      <c r="C29" s="18">
        <v>26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>
        <v>0</v>
      </c>
      <c r="AJ29" s="18">
        <v>0</v>
      </c>
      <c r="AL29" s="20" t="str">
        <f t="shared" si="0"/>
        <v>00000000</v>
      </c>
      <c r="AN29" t="str">
        <f>IF(SUM(Tabelle3[#This Row])&gt;0,"SET:"&amp;$AN$3&amp;":SEQ:"&amp;C29&amp;":"&amp;HEX2DEC(AL29)&amp;":"&amp;AJ29*10,"")</f>
        <v/>
      </c>
    </row>
    <row r="30" spans="3:42" x14ac:dyDescent="0.25">
      <c r="C30" s="18">
        <v>27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9">
        <v>0</v>
      </c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19">
        <v>0</v>
      </c>
      <c r="Q30" s="19">
        <v>0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W30" s="19">
        <v>0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>
        <v>0</v>
      </c>
      <c r="AH30" s="19">
        <v>0</v>
      </c>
      <c r="AI30" s="19">
        <v>0</v>
      </c>
      <c r="AJ30" s="18">
        <v>0</v>
      </c>
      <c r="AL30" s="20" t="str">
        <f t="shared" si="0"/>
        <v>00000000</v>
      </c>
      <c r="AN30" t="str">
        <f>IF(SUM(Tabelle3[#This Row])&gt;0,"SET:"&amp;$AN$3&amp;":SEQ:"&amp;C30&amp;":"&amp;HEX2DEC(AL30)&amp;":"&amp;AJ30*10,"")</f>
        <v/>
      </c>
    </row>
    <row r="31" spans="3:42" x14ac:dyDescent="0.25">
      <c r="C31" s="18">
        <v>28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8">
        <v>0</v>
      </c>
      <c r="AL31" s="20" t="str">
        <f t="shared" si="0"/>
        <v>00000000</v>
      </c>
      <c r="AN31" t="str">
        <f>IF(SUM(Tabelle3[#This Row])&gt;0,"SET:"&amp;$AN$3&amp;":SEQ:"&amp;C31&amp;":"&amp;HEX2DEC(AL31)&amp;":"&amp;AJ31*10,"")</f>
        <v/>
      </c>
    </row>
    <row r="32" spans="3:42" x14ac:dyDescent="0.25">
      <c r="C32" s="18">
        <v>29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>
        <v>0</v>
      </c>
      <c r="AJ32" s="18">
        <v>0</v>
      </c>
      <c r="AL32" s="20" t="str">
        <f t="shared" si="0"/>
        <v>00000000</v>
      </c>
      <c r="AN32" t="str">
        <f>IF(SUM(Tabelle3[#This Row])&gt;0,"SET:"&amp;$AN$3&amp;":SEQ:"&amp;C32&amp;":"&amp;HEX2DEC(AL32)&amp;":"&amp;AJ32*10,"")</f>
        <v/>
      </c>
    </row>
    <row r="33" spans="3:40" x14ac:dyDescent="0.25">
      <c r="C33" s="18">
        <v>30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>
        <v>0</v>
      </c>
      <c r="AJ33" s="18">
        <v>0</v>
      </c>
      <c r="AL33" s="20" t="str">
        <f t="shared" si="0"/>
        <v>00000000</v>
      </c>
      <c r="AN33" t="str">
        <f>IF(SUM(Tabelle3[#This Row])&gt;0,"SET:"&amp;$AN$3&amp;":SEQ:"&amp;C33&amp;":"&amp;HEX2DEC(AL33)&amp;":"&amp;AJ33*10,"")</f>
        <v/>
      </c>
    </row>
    <row r="34" spans="3:40" x14ac:dyDescent="0.25">
      <c r="C34" s="18">
        <v>31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8">
        <v>0</v>
      </c>
      <c r="AL34" s="20" t="str">
        <f t="shared" si="0"/>
        <v>00000000</v>
      </c>
      <c r="AN34" t="str">
        <f>IF(SUM(Tabelle3[#This Row])&gt;0,"SET:"&amp;$AN$3&amp;":SEQ:"&amp;C34&amp;":"&amp;HEX2DEC(AL34)&amp;":"&amp;AJ34*10,"")</f>
        <v/>
      </c>
    </row>
    <row r="35" spans="3:40" x14ac:dyDescent="0.25">
      <c r="C35" s="18">
        <v>32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0</v>
      </c>
      <c r="V35" s="19">
        <v>0</v>
      </c>
      <c r="W35" s="19">
        <v>0</v>
      </c>
      <c r="X35" s="19">
        <v>0</v>
      </c>
      <c r="Y35" s="19">
        <v>0</v>
      </c>
      <c r="Z35" s="19">
        <v>0</v>
      </c>
      <c r="AA35" s="19">
        <v>0</v>
      </c>
      <c r="AB35" s="19">
        <v>0</v>
      </c>
      <c r="AC35" s="19">
        <v>0</v>
      </c>
      <c r="AD35" s="19">
        <v>0</v>
      </c>
      <c r="AE35" s="19">
        <v>0</v>
      </c>
      <c r="AF35" s="19">
        <v>0</v>
      </c>
      <c r="AG35" s="19">
        <v>0</v>
      </c>
      <c r="AH35" s="19">
        <v>0</v>
      </c>
      <c r="AI35" s="19">
        <v>0</v>
      </c>
      <c r="AJ35" s="18">
        <v>0</v>
      </c>
      <c r="AL35" s="20" t="str">
        <f t="shared" si="0"/>
        <v>00000000</v>
      </c>
      <c r="AN35" t="str">
        <f>IF(SUM(Tabelle3[#This Row])&gt;0,"SET:"&amp;$AN$3&amp;":SEQ:"&amp;C35&amp;":"&amp;HEX2DEC(AL35)&amp;":"&amp;AJ35*10,"")</f>
        <v/>
      </c>
    </row>
    <row r="36" spans="3:40" x14ac:dyDescent="0.25">
      <c r="C36" s="18">
        <v>33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9">
        <v>0</v>
      </c>
      <c r="AF36" s="19">
        <v>0</v>
      </c>
      <c r="AG36" s="19">
        <v>0</v>
      </c>
      <c r="AH36" s="19">
        <v>0</v>
      </c>
      <c r="AI36" s="19">
        <v>0</v>
      </c>
      <c r="AJ36" s="18">
        <v>0</v>
      </c>
      <c r="AL36" s="20" t="str">
        <f t="shared" si="0"/>
        <v>00000000</v>
      </c>
      <c r="AN36" t="str">
        <f>IF(SUM(Tabelle3[#This Row])&gt;0,"SET:"&amp;$AN$3&amp;":SEQ:"&amp;C36&amp;":"&amp;HEX2DEC(AL36)&amp;":"&amp;AJ36*10,"")</f>
        <v/>
      </c>
    </row>
    <row r="37" spans="3:40" x14ac:dyDescent="0.25">
      <c r="C37" s="18">
        <v>34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 s="19">
        <v>0</v>
      </c>
      <c r="AC37" s="19">
        <v>0</v>
      </c>
      <c r="AD37" s="19">
        <v>0</v>
      </c>
      <c r="AE37" s="19">
        <v>0</v>
      </c>
      <c r="AF37" s="19">
        <v>0</v>
      </c>
      <c r="AG37" s="19">
        <v>0</v>
      </c>
      <c r="AH37" s="19">
        <v>0</v>
      </c>
      <c r="AI37" s="19">
        <v>0</v>
      </c>
      <c r="AJ37" s="18">
        <v>0</v>
      </c>
      <c r="AL37" s="20" t="str">
        <f t="shared" si="0"/>
        <v>00000000</v>
      </c>
      <c r="AN37" t="str">
        <f>IF(SUM(Tabelle3[#This Row])&gt;0,"SET:"&amp;$AN$3&amp;":SEQ:"&amp;C37&amp;":"&amp;HEX2DEC(AL37)&amp;":"&amp;AJ37*10,"")</f>
        <v/>
      </c>
    </row>
    <row r="38" spans="3:40" x14ac:dyDescent="0.25">
      <c r="C38" s="18">
        <v>35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0</v>
      </c>
      <c r="V38" s="19">
        <v>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9">
        <v>0</v>
      </c>
      <c r="AF38" s="19">
        <v>0</v>
      </c>
      <c r="AG38" s="19">
        <v>0</v>
      </c>
      <c r="AH38" s="19">
        <v>0</v>
      </c>
      <c r="AI38" s="19">
        <v>0</v>
      </c>
      <c r="AJ38" s="18">
        <v>0</v>
      </c>
      <c r="AL38" s="20" t="str">
        <f t="shared" si="0"/>
        <v>00000000</v>
      </c>
      <c r="AN38" t="str">
        <f>IF(SUM(Tabelle3[#This Row])&gt;0,"SET:"&amp;$AN$3&amp;":SEQ:"&amp;C38&amp;":"&amp;HEX2DEC(AL38)&amp;":"&amp;AJ38*10,"")</f>
        <v/>
      </c>
    </row>
    <row r="39" spans="3:40" x14ac:dyDescent="0.25">
      <c r="C39" s="18">
        <v>36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0</v>
      </c>
      <c r="V39" s="19">
        <v>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8">
        <v>0</v>
      </c>
      <c r="AL39" s="20" t="str">
        <f t="shared" si="0"/>
        <v>00000000</v>
      </c>
      <c r="AN39" t="str">
        <f>IF(SUM(Tabelle3[#This Row])&gt;0,"SET:"&amp;$AN$3&amp;":SEQ:"&amp;C39&amp;":"&amp;HEX2DEC(AL39)&amp;":"&amp;AJ39*10,"")</f>
        <v/>
      </c>
    </row>
    <row r="40" spans="3:40" x14ac:dyDescent="0.25">
      <c r="C40" s="18">
        <v>37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v>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9">
        <v>0</v>
      </c>
      <c r="S40" s="19">
        <v>0</v>
      </c>
      <c r="T40" s="19">
        <v>0</v>
      </c>
      <c r="U40" s="19">
        <v>0</v>
      </c>
      <c r="V40" s="19">
        <v>0</v>
      </c>
      <c r="W40" s="19">
        <v>0</v>
      </c>
      <c r="X40" s="19">
        <v>0</v>
      </c>
      <c r="Y40" s="19">
        <v>0</v>
      </c>
      <c r="Z40" s="19">
        <v>0</v>
      </c>
      <c r="AA40" s="19">
        <v>0</v>
      </c>
      <c r="AB40" s="19">
        <v>0</v>
      </c>
      <c r="AC40" s="19">
        <v>0</v>
      </c>
      <c r="AD40" s="19">
        <v>0</v>
      </c>
      <c r="AE40" s="19">
        <v>0</v>
      </c>
      <c r="AF40" s="19">
        <v>0</v>
      </c>
      <c r="AG40" s="19">
        <v>0</v>
      </c>
      <c r="AH40" s="19">
        <v>0</v>
      </c>
      <c r="AI40" s="19">
        <v>0</v>
      </c>
      <c r="AJ40" s="18">
        <v>0</v>
      </c>
      <c r="AL40" s="20" t="str">
        <f t="shared" si="0"/>
        <v>00000000</v>
      </c>
      <c r="AN40" t="str">
        <f>IF(SUM(Tabelle3[#This Row])&gt;0,"SET:"&amp;$AN$3&amp;":SEQ:"&amp;C40&amp;":"&amp;HEX2DEC(AL40)&amp;":"&amp;AJ40*10,"")</f>
        <v/>
      </c>
    </row>
    <row r="41" spans="3:40" x14ac:dyDescent="0.25">
      <c r="C41" s="18">
        <v>38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9">
        <v>0</v>
      </c>
      <c r="AF41" s="19">
        <v>0</v>
      </c>
      <c r="AG41" s="19">
        <v>0</v>
      </c>
      <c r="AH41" s="19">
        <v>0</v>
      </c>
      <c r="AI41" s="19">
        <v>0</v>
      </c>
      <c r="AJ41" s="18">
        <v>0</v>
      </c>
      <c r="AL41" s="20" t="str">
        <f t="shared" si="0"/>
        <v>00000000</v>
      </c>
      <c r="AN41" t="str">
        <f>IF(SUM(Tabelle3[#This Row])&gt;0,"SET:"&amp;$AN$3&amp;":SEQ:"&amp;C41&amp;":"&amp;HEX2DEC(AL41)&amp;":"&amp;AJ41*10,"")</f>
        <v/>
      </c>
    </row>
    <row r="42" spans="3:40" x14ac:dyDescent="0.25">
      <c r="C42" s="18">
        <v>39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8">
        <v>0</v>
      </c>
      <c r="AL42" s="20" t="str">
        <f t="shared" si="0"/>
        <v>00000000</v>
      </c>
      <c r="AN42" t="str">
        <f>IF(SUM(Tabelle3[#This Row])&gt;0,"SET:"&amp;$AN$3&amp;":SEQ:"&amp;C42&amp;":"&amp;HEX2DEC(AL42)&amp;":"&amp;AJ42*10,"")</f>
        <v/>
      </c>
    </row>
    <row r="43" spans="3:40" x14ac:dyDescent="0.25">
      <c r="C43" s="18">
        <v>40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9">
        <v>0</v>
      </c>
      <c r="AF43" s="19">
        <v>0</v>
      </c>
      <c r="AG43" s="19">
        <v>0</v>
      </c>
      <c r="AH43" s="19">
        <v>0</v>
      </c>
      <c r="AI43" s="19">
        <v>0</v>
      </c>
      <c r="AJ43" s="18">
        <v>0</v>
      </c>
      <c r="AL43" s="20" t="str">
        <f t="shared" si="0"/>
        <v>00000000</v>
      </c>
      <c r="AN43" t="str">
        <f>IF(SUM(Tabelle3[#This Row])&gt;0,"SET:"&amp;$AN$3&amp;":SEQ:"&amp;C43&amp;":"&amp;HEX2DEC(AL43)&amp;":"&amp;AJ43*10,"")</f>
        <v/>
      </c>
    </row>
  </sheetData>
  <conditionalFormatting sqref="D4:AI43">
    <cfRule type="cellIs" dxfId="36" priority="2" operator="equal">
      <formula>1</formula>
    </cfRule>
  </conditionalFormatting>
  <conditionalFormatting sqref="AJ4:AJ43">
    <cfRule type="expression" dxfId="35" priority="1">
      <formula>AND(SUM(D4:AI4)&gt;0,AJ4&lt;0.1)</formula>
    </cfRule>
  </conditionalFormatting>
  <dataValidations count="3">
    <dataValidation showDropDown="1" showInputMessage="1" showErrorMessage="1" sqref="B4:B43"/>
    <dataValidation type="list" allowBlank="1" showInputMessage="1" showErrorMessage="1" sqref="D4:AI43">
      <formula1>"0,1"</formula1>
    </dataValidation>
    <dataValidation type="list" allowBlank="1" showInputMessage="1" showErrorMessage="1" sqref="AN3">
      <formula1>"WEL,LEV,FOL,F2P"</formula1>
    </dataValidation>
  </dataValidations>
  <pageMargins left="0.7" right="0.7" top="0.78740157499999996" bottom="0.78740157499999996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_light_gui">
                <anchor moveWithCells="1" sizeWithCells="1">
                  <from>
                    <xdr:col>3</xdr:col>
                    <xdr:colOff>123825</xdr:colOff>
                    <xdr:row>0</xdr:row>
                    <xdr:rowOff>161925</xdr:rowOff>
                  </from>
                  <to>
                    <xdr:col>6</xdr:col>
                    <xdr:colOff>57150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_ibus_msg">
                <anchor moveWithCells="1" sizeWithCells="1">
                  <from>
                    <xdr:col>41</xdr:col>
                    <xdr:colOff>38100</xdr:colOff>
                    <xdr:row>2</xdr:row>
                    <xdr:rowOff>28575</xdr:rowOff>
                  </from>
                  <to>
                    <xdr:col>41</xdr:col>
                    <xdr:colOff>2381250</xdr:colOff>
                    <xdr:row>2</xdr:row>
                    <xdr:rowOff>838200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Settings</vt:lpstr>
      <vt:lpstr>Light_Sequenz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</dc:creator>
  <cp:lastModifiedBy>Christian</cp:lastModifiedBy>
  <dcterms:created xsi:type="dcterms:W3CDTF">2006-09-16T00:00:00Z</dcterms:created>
  <dcterms:modified xsi:type="dcterms:W3CDTF">2021-01-02T23:52:01Z</dcterms:modified>
</cp:coreProperties>
</file>